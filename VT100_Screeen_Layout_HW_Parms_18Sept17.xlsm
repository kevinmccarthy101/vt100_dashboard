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vt100_dashboard\"/>
    </mc:Choice>
  </mc:AlternateContent>
  <bookViews>
    <workbookView xWindow="-15" yWindow="4140" windowWidth="22920" windowHeight="4170" tabRatio="386" activeTab="2" xr2:uid="{00000000-000D-0000-FFFF-FFFF00000000}"/>
  </bookViews>
  <sheets>
    <sheet name="Scr1" sheetId="1" r:id="rId1"/>
    <sheet name="Scr2" sheetId="2" r:id="rId2"/>
    <sheet name="Scr3-49Rows" sheetId="7" r:id="rId3"/>
    <sheet name="Summary Cut&amp;Paste" sheetId="3" r:id="rId4"/>
    <sheet name="unused" sheetId="6" r:id="rId5"/>
    <sheet name="Screen Data Mapping" sheetId="4" r:id="rId6"/>
    <sheet name="POL Structs" sheetId="5" r:id="rId7"/>
    <sheet name="Sheet1" sheetId="8" r:id="rId8"/>
    <sheet name="Sheet2" sheetId="9" r:id="rId9"/>
  </sheets>
  <definedNames>
    <definedName name="apple">'Scr2'!#REF!</definedName>
  </definedNames>
  <calcPr calcId="171027"/>
</workbook>
</file>

<file path=xl/calcChain.xml><?xml version="1.0" encoding="utf-8"?>
<calcChain xmlns="http://schemas.openxmlformats.org/spreadsheetml/2006/main">
  <c r="BJ65" i="7" l="1"/>
  <c r="BJ39" i="2"/>
  <c r="BJ38" i="2"/>
  <c r="BJ37" i="2"/>
  <c r="BJ39" i="1"/>
  <c r="BJ38" i="1"/>
  <c r="T9" i="7" l="1"/>
  <c r="T10" i="7"/>
  <c r="T11" i="7"/>
  <c r="T12" i="7"/>
  <c r="T13" i="7"/>
  <c r="T14" i="7"/>
  <c r="T15" i="7"/>
  <c r="T16" i="7"/>
  <c r="T17" i="7"/>
  <c r="T18" i="7"/>
  <c r="T19" i="7"/>
  <c r="T20" i="7"/>
  <c r="T21" i="7"/>
  <c r="T22" i="7"/>
  <c r="T23" i="7"/>
  <c r="T24" i="7"/>
  <c r="T25" i="7"/>
  <c r="T26" i="7"/>
  <c r="T27" i="7"/>
  <c r="T28" i="7"/>
  <c r="T29" i="7"/>
  <c r="T30" i="7"/>
  <c r="T31" i="7"/>
  <c r="T32" i="7"/>
  <c r="T33" i="7"/>
  <c r="T34" i="7"/>
  <c r="T35" i="7"/>
  <c r="T36" i="7"/>
  <c r="T37" i="7"/>
  <c r="T38" i="7"/>
  <c r="T39" i="7"/>
  <c r="T40" i="7"/>
  <c r="T41" i="7"/>
  <c r="T42" i="7"/>
  <c r="T43" i="7"/>
  <c r="T44" i="7"/>
  <c r="T45" i="7"/>
  <c r="T46" i="7"/>
  <c r="T47" i="7"/>
  <c r="T48" i="7"/>
  <c r="T49" i="7"/>
  <c r="T50" i="7"/>
  <c r="T51" i="7"/>
  <c r="T52" i="7"/>
  <c r="T53" i="7"/>
  <c r="T54" i="7"/>
  <c r="T55" i="7"/>
  <c r="AL14" i="7"/>
  <c r="AL15" i="7"/>
  <c r="AL16" i="7"/>
  <c r="AL17" i="7"/>
  <c r="AL18" i="7"/>
  <c r="AL19" i="7"/>
  <c r="AL20" i="7"/>
  <c r="AL21" i="7"/>
  <c r="AL22" i="7"/>
  <c r="AL23" i="7"/>
  <c r="AL24" i="7"/>
  <c r="AL25" i="7"/>
  <c r="AL26" i="7"/>
  <c r="AL27" i="7"/>
  <c r="AL28" i="7"/>
  <c r="AL29" i="7"/>
  <c r="AL30" i="7"/>
  <c r="AL31" i="7"/>
  <c r="AL32" i="7"/>
  <c r="AL33" i="7"/>
  <c r="AL34" i="7"/>
  <c r="AL35" i="7"/>
  <c r="AL36" i="7"/>
  <c r="AL37" i="7"/>
  <c r="AL38" i="7"/>
  <c r="AL39" i="7"/>
  <c r="AL40" i="7"/>
  <c r="AL41" i="7"/>
  <c r="AL42" i="7"/>
  <c r="AL43" i="7"/>
  <c r="AL44" i="7"/>
  <c r="AL45" i="7"/>
  <c r="AL46" i="7"/>
  <c r="AL47" i="7"/>
  <c r="AL48" i="7"/>
  <c r="AL49" i="7"/>
  <c r="AL50" i="7"/>
  <c r="AL51" i="7"/>
  <c r="AL52" i="7"/>
  <c r="AL53" i="7"/>
  <c r="AL54" i="7"/>
  <c r="AL55" i="7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8" i="2"/>
  <c r="T30" i="2"/>
  <c r="T31" i="2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D9" i="1"/>
  <c r="BE9" i="1"/>
  <c r="BF9" i="1"/>
  <c r="BD10" i="1"/>
  <c r="BF10" i="1"/>
  <c r="BD11" i="1"/>
  <c r="BF11" i="1"/>
  <c r="BD12" i="1"/>
  <c r="BF12" i="1"/>
  <c r="BD13" i="1"/>
  <c r="BF13" i="1"/>
  <c r="BD14" i="1"/>
  <c r="BF14" i="1"/>
  <c r="BD15" i="1"/>
  <c r="BF15" i="1"/>
  <c r="BD16" i="1"/>
  <c r="BF16" i="1"/>
  <c r="BD17" i="1"/>
  <c r="BF17" i="1"/>
  <c r="BD18" i="1"/>
  <c r="BF18" i="1"/>
  <c r="BD19" i="1"/>
  <c r="BF19" i="1"/>
  <c r="BD20" i="1"/>
  <c r="BF20" i="1"/>
  <c r="BD21" i="1"/>
  <c r="BF21" i="1"/>
  <c r="BD22" i="1"/>
  <c r="BF22" i="1"/>
  <c r="BD23" i="1"/>
  <c r="BF23" i="1"/>
  <c r="BD24" i="1"/>
  <c r="BF24" i="1"/>
  <c r="BD25" i="1"/>
  <c r="BF25" i="1"/>
  <c r="BD26" i="1"/>
  <c r="BF26" i="1"/>
  <c r="BD27" i="1"/>
  <c r="BF27" i="1"/>
  <c r="BD28" i="1"/>
  <c r="BF28" i="1"/>
  <c r="BD29" i="1"/>
  <c r="BF29" i="1"/>
  <c r="BD30" i="1"/>
  <c r="BF30" i="1"/>
  <c r="BD31" i="1"/>
  <c r="BF31" i="1"/>
  <c r="BF8" i="1"/>
  <c r="BE8" i="1"/>
  <c r="BD8" i="1"/>
  <c r="BE31" i="7" l="1"/>
  <c r="AL20" i="6" l="1"/>
  <c r="AL21" i="6"/>
  <c r="AL22" i="6"/>
  <c r="CO22" i="6" s="1"/>
  <c r="AL23" i="6"/>
  <c r="CO23" i="6" s="1"/>
  <c r="BD31" i="6"/>
  <c r="BD32" i="6"/>
  <c r="BD33" i="6"/>
  <c r="BD34" i="6"/>
  <c r="BD35" i="6"/>
  <c r="BD36" i="6"/>
  <c r="BD37" i="6"/>
  <c r="BJ37" i="6"/>
  <c r="BF37" i="6"/>
  <c r="BE37" i="6"/>
  <c r="AL37" i="6"/>
  <c r="CO37" i="6" s="1"/>
  <c r="T37" i="6"/>
  <c r="CB37" i="6" s="1"/>
  <c r="B37" i="6"/>
  <c r="BF36" i="6"/>
  <c r="BE36" i="6"/>
  <c r="AL36" i="6"/>
  <c r="CO36" i="6" s="1"/>
  <c r="T36" i="6"/>
  <c r="CB36" i="6" s="1"/>
  <c r="B36" i="6"/>
  <c r="BJ36" i="6" s="1"/>
  <c r="BF35" i="6"/>
  <c r="BE35" i="6"/>
  <c r="AL35" i="6"/>
  <c r="CO35" i="6" s="1"/>
  <c r="T35" i="6"/>
  <c r="CB35" i="6" s="1"/>
  <c r="B35" i="6"/>
  <c r="BJ35" i="6" s="1"/>
  <c r="BF34" i="6"/>
  <c r="BE34" i="6"/>
  <c r="AL34" i="6"/>
  <c r="CO34" i="6" s="1"/>
  <c r="T34" i="6"/>
  <c r="CB34" i="6" s="1"/>
  <c r="B34" i="6"/>
  <c r="BJ34" i="6" s="1"/>
  <c r="BF33" i="6"/>
  <c r="BE33" i="6"/>
  <c r="AL33" i="6"/>
  <c r="CO33" i="6" s="1"/>
  <c r="T33" i="6"/>
  <c r="CB33" i="6" s="1"/>
  <c r="B33" i="6"/>
  <c r="BJ33" i="6" s="1"/>
  <c r="BF32" i="6"/>
  <c r="BE32" i="6"/>
  <c r="AL32" i="6"/>
  <c r="CO32" i="6" s="1"/>
  <c r="T32" i="6"/>
  <c r="CB32" i="6" s="1"/>
  <c r="B32" i="6"/>
  <c r="BJ32" i="6" s="1"/>
  <c r="BF31" i="6"/>
  <c r="BE31" i="6"/>
  <c r="AL31" i="6"/>
  <c r="CO31" i="6" s="1"/>
  <c r="T31" i="6"/>
  <c r="CB31" i="6" s="1"/>
  <c r="B31" i="6"/>
  <c r="BJ31" i="6" s="1"/>
  <c r="BF30" i="6"/>
  <c r="BE30" i="6"/>
  <c r="BD30" i="6"/>
  <c r="AL30" i="6"/>
  <c r="CO30" i="6" s="1"/>
  <c r="T30" i="6"/>
  <c r="CB30" i="6" s="1"/>
  <c r="B30" i="6"/>
  <c r="BF29" i="6"/>
  <c r="BE29" i="6"/>
  <c r="BD29" i="6"/>
  <c r="AL29" i="6"/>
  <c r="CO29" i="6" s="1"/>
  <c r="T29" i="6"/>
  <c r="CB29" i="6" s="1"/>
  <c r="B29" i="6"/>
  <c r="BJ29" i="6" s="1"/>
  <c r="BF28" i="6"/>
  <c r="BE28" i="6"/>
  <c r="BD28" i="6"/>
  <c r="AL28" i="6"/>
  <c r="CO28" i="6" s="1"/>
  <c r="T28" i="6"/>
  <c r="CB28" i="6" s="1"/>
  <c r="B28" i="6"/>
  <c r="BJ28" i="6" s="1"/>
  <c r="BF27" i="6"/>
  <c r="BE27" i="6"/>
  <c r="BD27" i="6"/>
  <c r="AL27" i="6"/>
  <c r="CO27" i="6" s="1"/>
  <c r="T27" i="6"/>
  <c r="CB27" i="6" s="1"/>
  <c r="B27" i="6"/>
  <c r="BJ27" i="6" s="1"/>
  <c r="BF26" i="6"/>
  <c r="BE26" i="6"/>
  <c r="BD26" i="6"/>
  <c r="AL26" i="6"/>
  <c r="CO26" i="6" s="1"/>
  <c r="T26" i="6"/>
  <c r="CB26" i="6" s="1"/>
  <c r="B26" i="6"/>
  <c r="BJ26" i="6" s="1"/>
  <c r="BF25" i="6"/>
  <c r="BE25" i="6"/>
  <c r="BD25" i="6"/>
  <c r="AL25" i="6"/>
  <c r="CO25" i="6" s="1"/>
  <c r="T25" i="6"/>
  <c r="CB25" i="6" s="1"/>
  <c r="B25" i="6"/>
  <c r="BJ25" i="6" s="1"/>
  <c r="BF24" i="6"/>
  <c r="BE24" i="6"/>
  <c r="BD24" i="6"/>
  <c r="AL24" i="6"/>
  <c r="CO24" i="6" s="1"/>
  <c r="T24" i="6"/>
  <c r="CB24" i="6" s="1"/>
  <c r="B24" i="6"/>
  <c r="BJ24" i="6" s="1"/>
  <c r="BF23" i="6"/>
  <c r="BE23" i="6"/>
  <c r="BD23" i="6"/>
  <c r="T23" i="6"/>
  <c r="CB23" i="6" s="1"/>
  <c r="B23" i="6"/>
  <c r="BJ23" i="6" s="1"/>
  <c r="BF22" i="6"/>
  <c r="BE22" i="6"/>
  <c r="BD22" i="6"/>
  <c r="T22" i="6"/>
  <c r="CB22" i="6" s="1"/>
  <c r="B22" i="6"/>
  <c r="CO21" i="6"/>
  <c r="BF21" i="6"/>
  <c r="BE21" i="6"/>
  <c r="BD21" i="6"/>
  <c r="T21" i="6"/>
  <c r="CB21" i="6" s="1"/>
  <c r="B21" i="6"/>
  <c r="BJ21" i="6" s="1"/>
  <c r="CO20" i="6"/>
  <c r="BF20" i="6"/>
  <c r="BE20" i="6"/>
  <c r="BD20" i="6"/>
  <c r="T20" i="6"/>
  <c r="CB20" i="6" s="1"/>
  <c r="B20" i="6"/>
  <c r="BJ20" i="6" s="1"/>
  <c r="BF19" i="6"/>
  <c r="BE19" i="6"/>
  <c r="BD19" i="6"/>
  <c r="AL19" i="6"/>
  <c r="CO19" i="6" s="1"/>
  <c r="T19" i="6"/>
  <c r="CB19" i="6" s="1"/>
  <c r="B19" i="6"/>
  <c r="BJ19" i="6" s="1"/>
  <c r="BF18" i="6"/>
  <c r="BE18" i="6"/>
  <c r="BD18" i="6"/>
  <c r="AL18" i="6"/>
  <c r="CO18" i="6" s="1"/>
  <c r="T18" i="6"/>
  <c r="CB18" i="6" s="1"/>
  <c r="B18" i="6"/>
  <c r="BJ18" i="6" s="1"/>
  <c r="BF17" i="6"/>
  <c r="BE17" i="6"/>
  <c r="BD17" i="6"/>
  <c r="AL17" i="6"/>
  <c r="CO17" i="6" s="1"/>
  <c r="T17" i="6"/>
  <c r="CB17" i="6" s="1"/>
  <c r="B17" i="6"/>
  <c r="BJ17" i="6" s="1"/>
  <c r="BF16" i="6"/>
  <c r="BE16" i="6"/>
  <c r="BD16" i="6"/>
  <c r="AL16" i="6"/>
  <c r="CO16" i="6" s="1"/>
  <c r="T16" i="6"/>
  <c r="CB16" i="6" s="1"/>
  <c r="B16" i="6"/>
  <c r="BJ16" i="6" s="1"/>
  <c r="BF15" i="6"/>
  <c r="BE15" i="6"/>
  <c r="BD15" i="6"/>
  <c r="AL15" i="6"/>
  <c r="CO15" i="6" s="1"/>
  <c r="T15" i="6"/>
  <c r="CB15" i="6" s="1"/>
  <c r="B15" i="6"/>
  <c r="BJ15" i="6" s="1"/>
  <c r="BF14" i="6"/>
  <c r="BE14" i="6"/>
  <c r="BD14" i="6"/>
  <c r="AL14" i="6"/>
  <c r="CO14" i="6" s="1"/>
  <c r="T14" i="6"/>
  <c r="CB14" i="6" s="1"/>
  <c r="B14" i="6"/>
  <c r="BJ14" i="6" s="1"/>
  <c r="BL14" i="1"/>
  <c r="BL15" i="1"/>
  <c r="BL16" i="1"/>
  <c r="BL55" i="7"/>
  <c r="BK55" i="7"/>
  <c r="BF55" i="7"/>
  <c r="BE55" i="7"/>
  <c r="BD55" i="7"/>
  <c r="B55" i="7"/>
  <c r="BJ55" i="7" s="1"/>
  <c r="BL54" i="7"/>
  <c r="BK54" i="7"/>
  <c r="BF54" i="7"/>
  <c r="BE54" i="7"/>
  <c r="BD54" i="7"/>
  <c r="B54" i="7"/>
  <c r="BJ54" i="7" s="1"/>
  <c r="BF53" i="7"/>
  <c r="BE53" i="7"/>
  <c r="BD53" i="7"/>
  <c r="BL53" i="7"/>
  <c r="BK53" i="7"/>
  <c r="B53" i="7"/>
  <c r="BJ53" i="7" s="1"/>
  <c r="BF52" i="7"/>
  <c r="BE52" i="7"/>
  <c r="BD52" i="7"/>
  <c r="BL52" i="7"/>
  <c r="BK52" i="7"/>
  <c r="B52" i="7"/>
  <c r="BJ52" i="7" s="1"/>
  <c r="BF51" i="7"/>
  <c r="BE51" i="7"/>
  <c r="BL51" i="7"/>
  <c r="BK51" i="7"/>
  <c r="BD51" i="7"/>
  <c r="BF50" i="7"/>
  <c r="BE50" i="7"/>
  <c r="BL50" i="7"/>
  <c r="BK50" i="7"/>
  <c r="BD50" i="7"/>
  <c r="BF49" i="7"/>
  <c r="BE49" i="7"/>
  <c r="BL49" i="7"/>
  <c r="BK49" i="7"/>
  <c r="BD49" i="7"/>
  <c r="BF48" i="7"/>
  <c r="BE48" i="7"/>
  <c r="BL48" i="7"/>
  <c r="BK48" i="7"/>
  <c r="BD48" i="7"/>
  <c r="BF47" i="7"/>
  <c r="BE47" i="7"/>
  <c r="BL47" i="7"/>
  <c r="BK47" i="7"/>
  <c r="BD47" i="7"/>
  <c r="BF46" i="7"/>
  <c r="BE46" i="7"/>
  <c r="BL46" i="7"/>
  <c r="BK46" i="7"/>
  <c r="BD46" i="7"/>
  <c r="BF45" i="7"/>
  <c r="BE45" i="7"/>
  <c r="BD45" i="7"/>
  <c r="BL45" i="7"/>
  <c r="BK45" i="7"/>
  <c r="B45" i="7"/>
  <c r="BJ45" i="7" s="1"/>
  <c r="BF44" i="7"/>
  <c r="BE44" i="7"/>
  <c r="BD44" i="7"/>
  <c r="BL44" i="7"/>
  <c r="BK44" i="7"/>
  <c r="B44" i="7"/>
  <c r="BJ44" i="7" s="1"/>
  <c r="BF43" i="7"/>
  <c r="BE43" i="7"/>
  <c r="BD43" i="7"/>
  <c r="BL43" i="7"/>
  <c r="BK43" i="7"/>
  <c r="B43" i="7"/>
  <c r="BJ43" i="7" s="1"/>
  <c r="BF42" i="7"/>
  <c r="BE42" i="7"/>
  <c r="BD42" i="7"/>
  <c r="BL42" i="7"/>
  <c r="BK42" i="7"/>
  <c r="B42" i="7"/>
  <c r="BJ42" i="7" s="1"/>
  <c r="BF41" i="7"/>
  <c r="BE41" i="7"/>
  <c r="BD41" i="7"/>
  <c r="BL41" i="7"/>
  <c r="B41" i="7"/>
  <c r="BJ41" i="7" s="1"/>
  <c r="BF40" i="7"/>
  <c r="BE40" i="7"/>
  <c r="BD40" i="7"/>
  <c r="BL40" i="7"/>
  <c r="B40" i="7"/>
  <c r="BJ40" i="7" s="1"/>
  <c r="BF39" i="7"/>
  <c r="BE39" i="7"/>
  <c r="BD39" i="7"/>
  <c r="BL39" i="7"/>
  <c r="BK39" i="7"/>
  <c r="B39" i="7"/>
  <c r="BJ39" i="7" s="1"/>
  <c r="BF38" i="7"/>
  <c r="BE38" i="7"/>
  <c r="BD38" i="7"/>
  <c r="BL38" i="7"/>
  <c r="B38" i="7"/>
  <c r="BJ38" i="7" s="1"/>
  <c r="BF37" i="7"/>
  <c r="BE37" i="7"/>
  <c r="BD37" i="7"/>
  <c r="BL37" i="7"/>
  <c r="BK37" i="7"/>
  <c r="B37" i="7"/>
  <c r="BJ37" i="7" s="1"/>
  <c r="BF36" i="7"/>
  <c r="BE36" i="7"/>
  <c r="BD36" i="7"/>
  <c r="BL36" i="7"/>
  <c r="B36" i="7"/>
  <c r="BJ36" i="7" s="1"/>
  <c r="BF35" i="7"/>
  <c r="BE35" i="7"/>
  <c r="BD35" i="7"/>
  <c r="BL35" i="7"/>
  <c r="BK35" i="7"/>
  <c r="B35" i="7"/>
  <c r="BJ35" i="7" s="1"/>
  <c r="BF34" i="7"/>
  <c r="BE34" i="7"/>
  <c r="BD34" i="7"/>
  <c r="BL34" i="7"/>
  <c r="BK34" i="7"/>
  <c r="B34" i="7"/>
  <c r="BJ34" i="7" s="1"/>
  <c r="BF33" i="7"/>
  <c r="BE33" i="7"/>
  <c r="BD33" i="7"/>
  <c r="BL33" i="7"/>
  <c r="BK33" i="7"/>
  <c r="B33" i="7"/>
  <c r="BJ33" i="7" s="1"/>
  <c r="BF32" i="7"/>
  <c r="BE32" i="7"/>
  <c r="BD32" i="7"/>
  <c r="BL32" i="7"/>
  <c r="B32" i="7"/>
  <c r="BF31" i="7"/>
  <c r="BD31" i="7"/>
  <c r="BL31" i="7"/>
  <c r="BK31" i="7"/>
  <c r="B31" i="7"/>
  <c r="BJ31" i="7" s="1"/>
  <c r="BF30" i="7"/>
  <c r="BE30" i="7"/>
  <c r="BD30" i="7"/>
  <c r="BL30" i="7"/>
  <c r="BK30" i="7"/>
  <c r="B30" i="7"/>
  <c r="BJ30" i="7" s="1"/>
  <c r="BF29" i="7"/>
  <c r="BE29" i="7"/>
  <c r="BD29" i="7"/>
  <c r="BL29" i="7"/>
  <c r="BK29" i="7"/>
  <c r="B29" i="7"/>
  <c r="BJ29" i="7" s="1"/>
  <c r="BF28" i="7"/>
  <c r="BE28" i="7"/>
  <c r="BD28" i="7"/>
  <c r="BL28" i="7"/>
  <c r="BK28" i="7"/>
  <c r="B28" i="7"/>
  <c r="BJ28" i="7" s="1"/>
  <c r="BF27" i="7"/>
  <c r="BE27" i="7"/>
  <c r="BD27" i="7"/>
  <c r="BL27" i="7"/>
  <c r="BK27" i="7"/>
  <c r="B27" i="7"/>
  <c r="BJ27" i="7" s="1"/>
  <c r="BF26" i="7"/>
  <c r="BE26" i="7"/>
  <c r="BD26" i="7"/>
  <c r="BL26" i="7"/>
  <c r="BK26" i="7"/>
  <c r="B26" i="7"/>
  <c r="BJ26" i="7" s="1"/>
  <c r="BF25" i="7"/>
  <c r="BE25" i="7"/>
  <c r="BD25" i="7"/>
  <c r="BL25" i="7"/>
  <c r="BK25" i="7"/>
  <c r="B25" i="7"/>
  <c r="BJ25" i="7" s="1"/>
  <c r="BF24" i="7"/>
  <c r="BE24" i="7"/>
  <c r="BD24" i="7"/>
  <c r="BL24" i="7"/>
  <c r="BK24" i="7"/>
  <c r="B24" i="7"/>
  <c r="BF23" i="7"/>
  <c r="BE23" i="7"/>
  <c r="BD23" i="7"/>
  <c r="BL23" i="7"/>
  <c r="BK23" i="7"/>
  <c r="B23" i="7"/>
  <c r="BJ23" i="7" s="1"/>
  <c r="BF22" i="7"/>
  <c r="BE22" i="7"/>
  <c r="BD22" i="7"/>
  <c r="BL22" i="7"/>
  <c r="BK22" i="7"/>
  <c r="B22" i="7"/>
  <c r="BJ22" i="7" s="1"/>
  <c r="BF21" i="7"/>
  <c r="BE21" i="7"/>
  <c r="BD21" i="7"/>
  <c r="BL21" i="7"/>
  <c r="BK21" i="7"/>
  <c r="B21" i="7"/>
  <c r="BJ21" i="7" s="1"/>
  <c r="BF20" i="7"/>
  <c r="BE20" i="7"/>
  <c r="BD20" i="7"/>
  <c r="BL20" i="7"/>
  <c r="BK20" i="7"/>
  <c r="B20" i="7"/>
  <c r="BJ20" i="7" s="1"/>
  <c r="BF19" i="7"/>
  <c r="BE19" i="7"/>
  <c r="BD19" i="7"/>
  <c r="BL19" i="7"/>
  <c r="BK19" i="7"/>
  <c r="B19" i="7"/>
  <c r="BJ19" i="7" s="1"/>
  <c r="BF18" i="7"/>
  <c r="BE18" i="7"/>
  <c r="BD18" i="7"/>
  <c r="BL18" i="7"/>
  <c r="BK18" i="7"/>
  <c r="B18" i="7"/>
  <c r="BJ18" i="7" s="1"/>
  <c r="BF17" i="7"/>
  <c r="BE17" i="7"/>
  <c r="BD17" i="7"/>
  <c r="BL17" i="7"/>
  <c r="BK17" i="7"/>
  <c r="B17" i="7"/>
  <c r="BJ17" i="7" s="1"/>
  <c r="BL16" i="7"/>
  <c r="BF16" i="7"/>
  <c r="BE16" i="7"/>
  <c r="BD16" i="7"/>
  <c r="BK16" i="7"/>
  <c r="B16" i="7"/>
  <c r="BL15" i="7"/>
  <c r="BF15" i="7"/>
  <c r="BE15" i="7"/>
  <c r="BD15" i="7"/>
  <c r="BK15" i="7"/>
  <c r="B15" i="7"/>
  <c r="BJ15" i="7" s="1"/>
  <c r="BL14" i="7"/>
  <c r="BF14" i="7"/>
  <c r="BE14" i="7"/>
  <c r="BD14" i="7"/>
  <c r="BK14" i="7"/>
  <c r="B14" i="7"/>
  <c r="BJ14" i="7" s="1"/>
  <c r="BF13" i="7"/>
  <c r="BE13" i="7"/>
  <c r="BD13" i="7"/>
  <c r="AL13" i="7"/>
  <c r="BL13" i="7" s="1"/>
  <c r="BK13" i="7"/>
  <c r="B13" i="7"/>
  <c r="BJ13" i="7" s="1"/>
  <c r="BF12" i="7"/>
  <c r="BE12" i="7"/>
  <c r="BD12" i="7"/>
  <c r="AL12" i="7"/>
  <c r="BL12" i="7" s="1"/>
  <c r="BK12" i="7"/>
  <c r="B12" i="7"/>
  <c r="BJ12" i="7" s="1"/>
  <c r="BF11" i="7"/>
  <c r="BE11" i="7"/>
  <c r="BD11" i="7"/>
  <c r="AL11" i="7"/>
  <c r="BL11" i="7" s="1"/>
  <c r="BK11" i="7"/>
  <c r="B11" i="7"/>
  <c r="BJ11" i="7" s="1"/>
  <c r="BF10" i="7"/>
  <c r="BE10" i="7"/>
  <c r="BD10" i="7"/>
  <c r="AL10" i="7"/>
  <c r="BL10" i="7" s="1"/>
  <c r="BK10" i="7"/>
  <c r="B10" i="7"/>
  <c r="BJ10" i="7" s="1"/>
  <c r="BF9" i="7"/>
  <c r="BE9" i="7"/>
  <c r="BD9" i="7"/>
  <c r="AL9" i="7"/>
  <c r="BL9" i="7" s="1"/>
  <c r="BK9" i="7"/>
  <c r="B9" i="7"/>
  <c r="BJ9" i="7" s="1"/>
  <c r="BF8" i="7"/>
  <c r="BE8" i="7"/>
  <c r="BD8" i="7"/>
  <c r="AL8" i="7"/>
  <c r="BL8" i="7" s="1"/>
  <c r="T8" i="7"/>
  <c r="BK8" i="7" s="1"/>
  <c r="B8" i="7"/>
  <c r="BJ64" i="7" l="1"/>
  <c r="BJ32" i="7"/>
  <c r="BJ67" i="7"/>
  <c r="BJ16" i="7"/>
  <c r="BJ24" i="7"/>
  <c r="BJ66" i="7"/>
  <c r="B48" i="7"/>
  <c r="BJ51" i="6"/>
  <c r="BJ50" i="6"/>
  <c r="BJ30" i="6"/>
  <c r="BJ22" i="6"/>
  <c r="BJ49" i="6"/>
  <c r="B50" i="7"/>
  <c r="BJ50" i="7" s="1"/>
  <c r="B46" i="7"/>
  <c r="B49" i="7"/>
  <c r="BK36" i="7"/>
  <c r="BK32" i="7"/>
  <c r="BK40" i="7"/>
  <c r="BK41" i="7"/>
  <c r="B47" i="7"/>
  <c r="BJ47" i="7" s="1"/>
  <c r="B51" i="7"/>
  <c r="BJ51" i="7" s="1"/>
  <c r="BK38" i="7"/>
  <c r="BJ8" i="7"/>
  <c r="K103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84" i="5"/>
  <c r="BJ48" i="7" l="1"/>
  <c r="BJ69" i="7"/>
  <c r="BJ46" i="7"/>
  <c r="BJ68" i="7"/>
  <c r="BJ49" i="7"/>
  <c r="T18" i="2"/>
  <c r="BL18" i="2" l="1"/>
  <c r="BL30" i="2"/>
  <c r="BL31" i="2"/>
  <c r="BK18" i="2"/>
  <c r="BK30" i="2"/>
  <c r="BK31" i="2"/>
  <c r="BL22" i="1"/>
  <c r="E41" i="4" l="1"/>
  <c r="E42" i="4"/>
  <c r="E43" i="4"/>
  <c r="B9" i="2"/>
  <c r="BJ9" i="2" s="1"/>
  <c r="B10" i="2"/>
  <c r="BJ10" i="2" s="1"/>
  <c r="B11" i="2"/>
  <c r="B12" i="2"/>
  <c r="BJ12" i="2" s="1"/>
  <c r="B13" i="2"/>
  <c r="BJ13" i="2" s="1"/>
  <c r="B14" i="2"/>
  <c r="BJ14" i="2" s="1"/>
  <c r="B15" i="2"/>
  <c r="BJ15" i="2" s="1"/>
  <c r="B16" i="2"/>
  <c r="B17" i="2"/>
  <c r="B18" i="2"/>
  <c r="BJ18" i="2" s="1"/>
  <c r="B19" i="2"/>
  <c r="BJ19" i="2" s="1"/>
  <c r="B20" i="2"/>
  <c r="BJ20" i="2" s="1"/>
  <c r="B21" i="2"/>
  <c r="BJ21" i="2" s="1"/>
  <c r="B28" i="2"/>
  <c r="BJ28" i="2" s="1"/>
  <c r="B29" i="2"/>
  <c r="BJ29" i="2" s="1"/>
  <c r="B30" i="2"/>
  <c r="BJ30" i="2" s="1"/>
  <c r="B31" i="2"/>
  <c r="BJ31" i="2" s="1"/>
  <c r="BD9" i="2"/>
  <c r="BD10" i="2"/>
  <c r="BD11" i="2"/>
  <c r="BD12" i="2"/>
  <c r="BD13" i="2"/>
  <c r="BD14" i="2"/>
  <c r="BD15" i="2"/>
  <c r="BD16" i="2"/>
  <c r="BD17" i="2"/>
  <c r="BD18" i="2"/>
  <c r="BD19" i="2"/>
  <c r="BD20" i="2"/>
  <c r="BD21" i="2"/>
  <c r="BD28" i="2"/>
  <c r="BD29" i="2"/>
  <c r="BD30" i="2"/>
  <c r="BD31" i="2"/>
  <c r="BJ16" i="2" l="1"/>
  <c r="BJ17" i="2"/>
  <c r="BJ11" i="2"/>
  <c r="BL14" i="2"/>
  <c r="BL15" i="2"/>
  <c r="BL16" i="2"/>
  <c r="T14" i="2"/>
  <c r="T15" i="2"/>
  <c r="T16" i="2"/>
  <c r="E68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36" i="4"/>
  <c r="E24" i="4"/>
  <c r="E25" i="4"/>
  <c r="E26" i="4"/>
  <c r="E27" i="4"/>
  <c r="E28" i="4"/>
  <c r="E29" i="4"/>
  <c r="E30" i="4"/>
  <c r="E31" i="4"/>
  <c r="E32" i="4"/>
  <c r="E33" i="4"/>
  <c r="E34" i="4"/>
  <c r="E35" i="4"/>
  <c r="E4" i="4"/>
  <c r="E5" i="4"/>
  <c r="E12" i="4"/>
  <c r="E13" i="4"/>
  <c r="E14" i="4"/>
  <c r="E15" i="4"/>
  <c r="E16" i="4"/>
  <c r="E17" i="4"/>
  <c r="E18" i="4"/>
  <c r="E19" i="4"/>
  <c r="E20" i="4"/>
  <c r="E21" i="4"/>
  <c r="E22" i="4"/>
  <c r="E23" i="4"/>
  <c r="E3" i="4"/>
  <c r="B30" i="1"/>
  <c r="BJ30" i="1" s="1"/>
  <c r="BL9" i="2"/>
  <c r="BL10" i="2"/>
  <c r="BL11" i="2"/>
  <c r="BL12" i="2"/>
  <c r="BL13" i="2"/>
  <c r="BL17" i="2"/>
  <c r="BL19" i="2"/>
  <c r="BL20" i="2"/>
  <c r="BL21" i="2"/>
  <c r="BL22" i="2"/>
  <c r="BL23" i="2"/>
  <c r="BL24" i="2"/>
  <c r="BL25" i="2"/>
  <c r="BL26" i="2"/>
  <c r="BL27" i="2"/>
  <c r="BL28" i="2"/>
  <c r="BL29" i="2"/>
  <c r="BL8" i="2"/>
  <c r="T9" i="2"/>
  <c r="T10" i="2"/>
  <c r="T11" i="2"/>
  <c r="T12" i="2"/>
  <c r="T13" i="2"/>
  <c r="T17" i="2"/>
  <c r="T19" i="2"/>
  <c r="BK19" i="2" s="1"/>
  <c r="T20" i="2"/>
  <c r="BK20" i="2" s="1"/>
  <c r="T21" i="2"/>
  <c r="BK21" i="2" s="1"/>
  <c r="T22" i="2"/>
  <c r="BK22" i="2" s="1"/>
  <c r="T23" i="2"/>
  <c r="BK23" i="2" s="1"/>
  <c r="T24" i="2"/>
  <c r="BK24" i="2" s="1"/>
  <c r="T25" i="2"/>
  <c r="BK25" i="2" s="1"/>
  <c r="T26" i="2"/>
  <c r="BK26" i="2" s="1"/>
  <c r="T27" i="2"/>
  <c r="BK27" i="2" s="1"/>
  <c r="T28" i="2"/>
  <c r="BK28" i="2" s="1"/>
  <c r="T29" i="2"/>
  <c r="BK29" i="2" s="1"/>
  <c r="T8" i="2"/>
  <c r="B8" i="2"/>
  <c r="BL9" i="1"/>
  <c r="BL10" i="1"/>
  <c r="BL11" i="1"/>
  <c r="BL12" i="1"/>
  <c r="BL13" i="1"/>
  <c r="BL17" i="1"/>
  <c r="BL18" i="1"/>
  <c r="BL19" i="1"/>
  <c r="BL20" i="1"/>
  <c r="BL21" i="1"/>
  <c r="BL23" i="1"/>
  <c r="BL24" i="1"/>
  <c r="BL25" i="1"/>
  <c r="BL26" i="1"/>
  <c r="BL27" i="1"/>
  <c r="BL28" i="1"/>
  <c r="BL29" i="1"/>
  <c r="BL30" i="1"/>
  <c r="BL31" i="1"/>
  <c r="AL8" i="1"/>
  <c r="BL8" i="1" s="1"/>
  <c r="T10" i="1"/>
  <c r="BK10" i="1" s="1"/>
  <c r="T11" i="1"/>
  <c r="BK11" i="1" s="1"/>
  <c r="T12" i="1"/>
  <c r="BK12" i="1" s="1"/>
  <c r="T13" i="1"/>
  <c r="BK13" i="1" s="1"/>
  <c r="T14" i="1"/>
  <c r="BK14" i="1" s="1"/>
  <c r="T15" i="1"/>
  <c r="BK15" i="1" s="1"/>
  <c r="T16" i="1"/>
  <c r="BK16" i="1" s="1"/>
  <c r="T17" i="1"/>
  <c r="BK17" i="1" s="1"/>
  <c r="T18" i="1"/>
  <c r="BK18" i="1" s="1"/>
  <c r="T19" i="1"/>
  <c r="BK19" i="1" s="1"/>
  <c r="T20" i="1"/>
  <c r="BK20" i="1" s="1"/>
  <c r="T21" i="1"/>
  <c r="BK21" i="1" s="1"/>
  <c r="T22" i="1"/>
  <c r="BK22" i="1" s="1"/>
  <c r="T23" i="1"/>
  <c r="BK23" i="1" s="1"/>
  <c r="T24" i="1"/>
  <c r="BK24" i="1" s="1"/>
  <c r="T25" i="1"/>
  <c r="BK25" i="1" s="1"/>
  <c r="T26" i="1"/>
  <c r="BK26" i="1" s="1"/>
  <c r="T27" i="1"/>
  <c r="BK27" i="1" s="1"/>
  <c r="T28" i="1"/>
  <c r="BK28" i="1" s="1"/>
  <c r="T29" i="1"/>
  <c r="BK29" i="1" s="1"/>
  <c r="T30" i="1"/>
  <c r="BK30" i="1" s="1"/>
  <c r="T31" i="1"/>
  <c r="BK31" i="1" s="1"/>
  <c r="T9" i="1"/>
  <c r="BK9" i="1" s="1"/>
  <c r="B9" i="1"/>
  <c r="BJ9" i="1" s="1"/>
  <c r="B10" i="1"/>
  <c r="BJ10" i="1" s="1"/>
  <c r="B11" i="1"/>
  <c r="BJ11" i="1" s="1"/>
  <c r="B12" i="1"/>
  <c r="BJ12" i="1" s="1"/>
  <c r="B13" i="1"/>
  <c r="BJ13" i="1" s="1"/>
  <c r="B14" i="1"/>
  <c r="BJ14" i="1" s="1"/>
  <c r="B15" i="1"/>
  <c r="BJ15" i="1" s="1"/>
  <c r="B16" i="1"/>
  <c r="B17" i="1"/>
  <c r="BJ17" i="1" s="1"/>
  <c r="B18" i="1"/>
  <c r="BJ18" i="1" s="1"/>
  <c r="B19" i="1"/>
  <c r="BJ19" i="1" s="1"/>
  <c r="B20" i="1"/>
  <c r="BJ20" i="1" s="1"/>
  <c r="B21" i="1"/>
  <c r="BJ21" i="1" s="1"/>
  <c r="B22" i="1"/>
  <c r="BJ22" i="1" s="1"/>
  <c r="B23" i="1"/>
  <c r="BJ23" i="1" s="1"/>
  <c r="B24" i="1"/>
  <c r="B25" i="1"/>
  <c r="BJ25" i="1" s="1"/>
  <c r="B26" i="1"/>
  <c r="BJ26" i="1" s="1"/>
  <c r="B27" i="1"/>
  <c r="BJ27" i="1" s="1"/>
  <c r="B28" i="1"/>
  <c r="BJ28" i="1" s="1"/>
  <c r="B29" i="1"/>
  <c r="BJ29" i="1" s="1"/>
  <c r="B31" i="1"/>
  <c r="BJ31" i="1" s="1"/>
  <c r="T8" i="1"/>
  <c r="BK8" i="1" s="1"/>
  <c r="B8" i="1"/>
  <c r="BF9" i="2"/>
  <c r="BF10" i="2"/>
  <c r="BF11" i="2"/>
  <c r="BF12" i="2"/>
  <c r="BF13" i="2"/>
  <c r="BF14" i="2"/>
  <c r="BF15" i="2"/>
  <c r="BF16" i="2"/>
  <c r="BF17" i="2"/>
  <c r="BF18" i="2"/>
  <c r="BF19" i="2"/>
  <c r="BF20" i="2"/>
  <c r="BF21" i="2"/>
  <c r="BF22" i="2"/>
  <c r="BF23" i="2"/>
  <c r="BF24" i="2"/>
  <c r="BF25" i="2"/>
  <c r="BF26" i="2"/>
  <c r="BF27" i="2"/>
  <c r="BF28" i="2"/>
  <c r="BF29" i="2"/>
  <c r="BF30" i="2"/>
  <c r="BF31" i="2"/>
  <c r="BE9" i="2"/>
  <c r="BE10" i="2"/>
  <c r="BE11" i="2"/>
  <c r="BE12" i="2"/>
  <c r="BE13" i="2"/>
  <c r="BE14" i="2"/>
  <c r="BE15" i="2"/>
  <c r="BE16" i="2"/>
  <c r="BE17" i="2"/>
  <c r="BE18" i="2"/>
  <c r="BE19" i="2"/>
  <c r="BE20" i="2"/>
  <c r="BE21" i="2"/>
  <c r="BE22" i="2"/>
  <c r="BE23" i="2"/>
  <c r="BE24" i="2"/>
  <c r="BE25" i="2"/>
  <c r="BE26" i="2"/>
  <c r="BE27" i="2"/>
  <c r="BE28" i="2"/>
  <c r="BE29" i="2"/>
  <c r="BE30" i="2"/>
  <c r="BE31" i="2"/>
  <c r="BF8" i="2"/>
  <c r="BE8" i="2"/>
  <c r="BD8" i="2"/>
  <c r="BJ8" i="1" l="1"/>
  <c r="BJ37" i="1"/>
  <c r="BJ24" i="1"/>
  <c r="BJ16" i="1"/>
  <c r="BJ8" i="2"/>
  <c r="BK16" i="2"/>
  <c r="BK15" i="2"/>
  <c r="BK14" i="2"/>
  <c r="BK17" i="2"/>
  <c r="BK11" i="2"/>
  <c r="BK9" i="2"/>
  <c r="BK13" i="2"/>
  <c r="BK12" i="2"/>
  <c r="BK8" i="2"/>
  <c r="BK10" i="2"/>
  <c r="BD24" i="2"/>
  <c r="B24" i="2"/>
  <c r="BD23" i="2"/>
  <c r="B23" i="2"/>
  <c r="BJ23" i="2" s="1"/>
  <c r="BD27" i="2"/>
  <c r="B27" i="2"/>
  <c r="BJ27" i="2" s="1"/>
  <c r="BD22" i="2"/>
  <c r="B22" i="2"/>
  <c r="BJ22" i="2" s="1"/>
  <c r="B25" i="2"/>
  <c r="BJ25" i="2" s="1"/>
  <c r="BD25" i="2"/>
  <c r="B26" i="2"/>
  <c r="BJ26" i="2" s="1"/>
  <c r="BD26" i="2"/>
  <c r="BJ24" i="2" l="1"/>
</calcChain>
</file>

<file path=xl/sharedStrings.xml><?xml version="1.0" encoding="utf-8"?>
<sst xmlns="http://schemas.openxmlformats.org/spreadsheetml/2006/main" count="1632" uniqueCount="746">
  <si>
    <t>A</t>
  </si>
  <si>
    <t>.</t>
  </si>
  <si>
    <t>BLANK</t>
  </si>
  <si>
    <t>Parameter Name 16</t>
  </si>
  <si>
    <t>Unit</t>
  </si>
  <si>
    <t>ParmName</t>
  </si>
  <si>
    <t>ParmValue</t>
  </si>
  <si>
    <t>Format</t>
  </si>
  <si>
    <t>C</t>
  </si>
  <si>
    <t>2.3f</t>
  </si>
  <si>
    <t>3.2f</t>
  </si>
  <si>
    <t>6d</t>
  </si>
  <si>
    <t>char</t>
  </si>
  <si>
    <t>parmUnit[1];</t>
  </si>
  <si>
    <t>V</t>
  </si>
  <si>
    <t>R</t>
  </si>
  <si>
    <t>Command and Status Line</t>
  </si>
  <si>
    <t>ParmValue 6</t>
  </si>
  <si>
    <t>parmName[20];</t>
  </si>
  <si>
    <t>int</t>
  </si>
  <si>
    <t>parmNameX;</t>
  </si>
  <si>
    <t>//Row</t>
  </si>
  <si>
    <t>parmNameY;</t>
  </si>
  <si>
    <t>//Col</t>
  </si>
  <si>
    <t>float</t>
  </si>
  <si>
    <t>parmValue;</t>
  </si>
  <si>
    <t>parmFormat;</t>
  </si>
  <si>
    <t>parmValueX;</t>
  </si>
  <si>
    <t>parmValueY;</t>
  </si>
  <si>
    <t>W</t>
  </si>
  <si>
    <t>Don't Print</t>
  </si>
  <si>
    <t>Address</t>
  </si>
  <si>
    <t>Min_Vccint_PL_1V0</t>
  </si>
  <si>
    <t>Max_Vccint_PL_1V0</t>
  </si>
  <si>
    <t>Min_Vccaux_PL_1V8</t>
  </si>
  <si>
    <t>Max_Vccaux_PL_1V8</t>
  </si>
  <si>
    <t>Aux4_Brd_MGT_1V0</t>
  </si>
  <si>
    <t>Aux9_Brd_MGT_1V2</t>
  </si>
  <si>
    <t>Aux11_Brd_MGT1V8</t>
  </si>
  <si>
    <t>enum</t>
  </si>
  <si>
    <t>Blank54</t>
  </si>
  <si>
    <t>Die_Temperature</t>
  </si>
  <si>
    <t>Min_Die_Temperature</t>
  </si>
  <si>
    <t xml:space="preserve">  </t>
  </si>
  <si>
    <t>Max_Die_Temperature</t>
  </si>
  <si>
    <t>Vccint_PL_1V0</t>
  </si>
  <si>
    <t>Vccaux_PL_1V8</t>
  </si>
  <si>
    <t>Vbram_PL_1V0</t>
  </si>
  <si>
    <t>Min_Vbram_PL_1V0</t>
  </si>
  <si>
    <t>Max_Vbram_PL_1V0</t>
  </si>
  <si>
    <t>Vccint_PS_1V0</t>
  </si>
  <si>
    <t>Min_Vccint_PS_1V0</t>
  </si>
  <si>
    <t>Max_Vccint_PS_1V0</t>
  </si>
  <si>
    <t>Vccaux_PS_1V8</t>
  </si>
  <si>
    <t>Min_Vccaux_PS_1V8</t>
  </si>
  <si>
    <t>Max_Vccaux_PS_1V8</t>
  </si>
  <si>
    <t>Vccmem_PS_1V35</t>
  </si>
  <si>
    <t>Min_Vccmem_PS_1V35</t>
  </si>
  <si>
    <t xml:space="preserve">   </t>
  </si>
  <si>
    <t>Vp_Vn_DDR3L_Ref</t>
  </si>
  <si>
    <t>Aux0_Brd_3V3_SW</t>
  </si>
  <si>
    <t>Aux1_Brd_2V5</t>
  </si>
  <si>
    <t>Aux2_Brd_1V2</t>
  </si>
  <si>
    <t>Aux3_Brd_1V0_PEX</t>
  </si>
  <si>
    <t>Aux5_Brd_L2_1V8</t>
  </si>
  <si>
    <t>Aux8_Brd_2V5V_SW</t>
  </si>
  <si>
    <t>Aux10_Brd_5V0</t>
  </si>
  <si>
    <t>Aux12_Brd_L2_2V5</t>
  </si>
  <si>
    <t>Aux13_Brd_L2_PLL_VDD</t>
  </si>
  <si>
    <t xml:space="preserve"> </t>
  </si>
  <si>
    <t xml:space="preserve">xadc_data_t cj_xadc_data[NUM_CJ_REGS] =
</t>
  </si>
  <si>
    <t>Scale Factor</t>
  </si>
  <si>
    <t>Scr_index</t>
  </si>
  <si>
    <t>PsVccint1V0</t>
  </si>
  <si>
    <t>PsVintMin1V0</t>
  </si>
  <si>
    <t>PsVintMax1V0</t>
  </si>
  <si>
    <t>PsVccaux1V8</t>
  </si>
  <si>
    <t>PsVauxMin1V8</t>
  </si>
  <si>
    <t>PsVauxMax1V8</t>
  </si>
  <si>
    <t>PlVbram1V0</t>
  </si>
  <si>
    <t>PlVbramMin1V0</t>
  </si>
  <si>
    <t>PlVbramMax1V0</t>
  </si>
  <si>
    <t>PsVccmem1V35</t>
  </si>
  <si>
    <t>PsVmemMin1V35</t>
  </si>
  <si>
    <t>PsVmemMax1V35</t>
  </si>
  <si>
    <t>BrdDdr31V35</t>
  </si>
  <si>
    <t>PsDdr30V675</t>
  </si>
  <si>
    <t>PlDdr30V675</t>
  </si>
  <si>
    <t>PlMgt1V0</t>
  </si>
  <si>
    <t>PlMgt1V2</t>
  </si>
  <si>
    <t>PlMgt1V8</t>
  </si>
  <si>
    <t>CpBrd1V0</t>
  </si>
  <si>
    <t>Pex1V0</t>
  </si>
  <si>
    <t>RoboBrd1V2</t>
  </si>
  <si>
    <t>Nco1V8</t>
  </si>
  <si>
    <t>Brd2V5</t>
  </si>
  <si>
    <t>CpSw2V5</t>
  </si>
  <si>
    <t>Brd3V3</t>
  </si>
  <si>
    <t>Pol3V3(V)</t>
  </si>
  <si>
    <t>Pol3V3(I)</t>
  </si>
  <si>
    <t>CpSw3V3</t>
  </si>
  <si>
    <t>CjSw3V3</t>
  </si>
  <si>
    <t>Cu3V3</t>
  </si>
  <si>
    <t>Brd5V0</t>
  </si>
  <si>
    <t>Brd12V0</t>
  </si>
  <si>
    <t>Dspy12V0</t>
  </si>
  <si>
    <t>CjVccint0V95</t>
  </si>
  <si>
    <t>CjVintMin0V95</t>
  </si>
  <si>
    <t>CjVintMax0V95</t>
  </si>
  <si>
    <t>PolVint1V0(V)</t>
  </si>
  <si>
    <t>PolVint1V(I1)</t>
  </si>
  <si>
    <t>PolVint1V0(I)</t>
  </si>
  <si>
    <t>PolVint1V(It)</t>
  </si>
  <si>
    <t>CjVbram0V95</t>
  </si>
  <si>
    <t>CjVramMin0V95</t>
  </si>
  <si>
    <t>CjVramMax0V95</t>
  </si>
  <si>
    <t>CjVccaux1V8</t>
  </si>
  <si>
    <t>CjVauxMin1V8</t>
  </si>
  <si>
    <t>CjVauxMax1V8</t>
  </si>
  <si>
    <t>CjMgt1V0</t>
  </si>
  <si>
    <t>Max_Vccmem_PS_1V35</t>
  </si>
  <si>
    <t>CJ_Die_Temperature</t>
  </si>
  <si>
    <t>CJ_Vccint_V95</t>
  </si>
  <si>
    <t>CJ_Vccaux_1V8</t>
  </si>
  <si>
    <t>CJ_Vbram_V95</t>
  </si>
  <si>
    <t>CJ_SYSMON_ADCIN_0_12V0</t>
  </si>
  <si>
    <t>CJ_SYSMON_ADCIN_1_L2_VDD_0V9</t>
  </si>
  <si>
    <t>CJ_SYSMON_ADCIN_2_L2_AVDD_1V0</t>
  </si>
  <si>
    <t>CJ_SYSMON_ADCIN_3_CU_3V3</t>
  </si>
  <si>
    <t>CJ_SYSMON_ADCIN_4_NCO_1V8</t>
  </si>
  <si>
    <t>CJ_SYSMON_ADCIN_5_DA_MGT_1V8</t>
  </si>
  <si>
    <t>CJ_SYSMON_ADCIN_6_DA_MGT_1V2</t>
  </si>
  <si>
    <t>CJ_SYSMON_ADCIN_7_DA_MGT_1V0</t>
  </si>
  <si>
    <t>CJ_SYSMON_ADCIN_8_PS_DDR3_VTT_V675</t>
  </si>
  <si>
    <t>CJ_SYSMON_ADCIN_9_PL_DDR3_VTT_V675</t>
  </si>
  <si>
    <t>CJ_SYSMON_ADCIN_10_DSPY_12V0</t>
  </si>
  <si>
    <t>CJ_SYSMON_ADCIN_11_DA_3V3</t>
  </si>
  <si>
    <t>CJ_SYSMON_ADCIN_12_3V3</t>
  </si>
  <si>
    <t>CJ_SYSMON_ADCIN_13_CP_1V8_SW</t>
  </si>
  <si>
    <t>CJ_SYSMON_ADCIN_14_CP_1V0</t>
  </si>
  <si>
    <t>CJ_SYSMON_ADCIN_15_DDR3_1V35</t>
  </si>
  <si>
    <t>PolMgt1V0(V)</t>
  </si>
  <si>
    <t>PolMgt1V0(I)</t>
  </si>
  <si>
    <t>CjMgt1V2</t>
  </si>
  <si>
    <t>PolMgt1V2(V)</t>
  </si>
  <si>
    <t>PolMgt1V2(I)</t>
  </si>
  <si>
    <t>CjMgt1V8</t>
  </si>
  <si>
    <t>L22V5</t>
  </si>
  <si>
    <t>L21V8</t>
  </si>
  <si>
    <t>L2Pll1V0</t>
  </si>
  <si>
    <t>L2Vdd0V95</t>
  </si>
  <si>
    <t>PolL2Vdd(V)</t>
  </si>
  <si>
    <t>PolL2Vdd(I1)</t>
  </si>
  <si>
    <t>PolL2Vdd(I2)</t>
  </si>
  <si>
    <t>PolL2Vdd(I3)</t>
  </si>
  <si>
    <t>PolL2Vdd(I4)</t>
  </si>
  <si>
    <t>PolL2Vdd(I5)</t>
  </si>
  <si>
    <t>PolL2Vdd(It)</t>
  </si>
  <si>
    <t>L2Avdd1V0</t>
  </si>
  <si>
    <t>PolL2Avdd(V)</t>
  </si>
  <si>
    <t>PolL2Avdd(I)</t>
  </si>
  <si>
    <t>xadc_data_t cj_xadc_data[NUM_CJ_REGS] =</t>
  </si>
  <si>
    <t>CpBrd1V8</t>
  </si>
  <si>
    <t>scr_index;</t>
  </si>
  <si>
    <t>ENUM:</t>
  </si>
  <si>
    <t>ZYNQ</t>
  </si>
  <si>
    <t>Cloud Jumper</t>
  </si>
  <si>
    <t>CpXadcDia_T</t>
  </si>
  <si>
    <t>CpAdcMinDia_T</t>
  </si>
  <si>
    <t>CpAdcMaxDia_T</t>
  </si>
  <si>
    <t>CJ_Min_Die_Temperature</t>
  </si>
  <si>
    <t>CJ_Max_Die_Temperature</t>
  </si>
  <si>
    <t>CJ_Min_Vccint_V95</t>
  </si>
  <si>
    <t>CJ_Max_Vccint_V95</t>
  </si>
  <si>
    <t>CJ_Min_Vccaux_1V8</t>
  </si>
  <si>
    <t>CJ_Max_Vccaux_1V8</t>
  </si>
  <si>
    <t>CJ_Min_Vbram_V95</t>
  </si>
  <si>
    <t>CJ_Max_Vbram_V95</t>
  </si>
  <si>
    <t>parm_index_t;</t>
  </si>
  <si>
    <t>typedef enum //parm_index</t>
  </si>
  <si>
    <t>Cut and Paste below</t>
  </si>
  <si>
    <t>{</t>
  </si>
  <si>
    <t>};</t>
  </si>
  <si>
    <t>Screen 1 &gt;&gt;&gt;</t>
  </si>
  <si>
    <t>X</t>
  </si>
  <si>
    <t>4.1f</t>
  </si>
  <si>
    <t>CjXadcDie_T</t>
  </si>
  <si>
    <t>CjAdcMinDie_T</t>
  </si>
  <si>
    <t>CjAdcMaxDie_T</t>
  </si>
  <si>
    <t>%</t>
  </si>
  <si>
    <t>sss</t>
  </si>
  <si>
    <t>PolMgt1V0_V</t>
  </si>
  <si>
    <t>PolMgt1V0_I</t>
  </si>
  <si>
    <t>PolMgt1V2_V</t>
  </si>
  <si>
    <t>PolMgt1V2_I</t>
  </si>
  <si>
    <t>PolVint1V0_V</t>
  </si>
  <si>
    <t>PolVint1V0_T</t>
  </si>
  <si>
    <t>PolVint1V_I0</t>
  </si>
  <si>
    <t>PolVint1V_I1</t>
  </si>
  <si>
    <t>PolVint1V_It</t>
  </si>
  <si>
    <t>PolL2Avdd_V</t>
  </si>
  <si>
    <t>PolL2Avdd_I</t>
  </si>
  <si>
    <t>PolL2Vdd_V</t>
  </si>
  <si>
    <t>PolL2Vdd_I0</t>
  </si>
  <si>
    <t>PolL2Vdd_I1</t>
  </si>
  <si>
    <t>PolL2Vdd_I2</t>
  </si>
  <si>
    <t>PolL2Vdd_I3</t>
  </si>
  <si>
    <t>PolL2Vdd_I4</t>
  </si>
  <si>
    <t>PolL2Vdd_I5</t>
  </si>
  <si>
    <t>PolL2Vdd_It</t>
  </si>
  <si>
    <t>PolL2Vdd_T</t>
  </si>
  <si>
    <t>Pol3V3_V</t>
  </si>
  <si>
    <t>Pol3V3_I</t>
  </si>
  <si>
    <t>///////////////////////// POL - Point of Load Power Supplies //////</t>
  </si>
  <si>
    <t>//Linear Scaling POLs</t>
  </si>
  <si>
    <t>int format;</t>
  </si>
  <si>
    <t xml:space="preserve">typedef struct </t>
  </si>
  <si>
    <t xml:space="preserve">    {</t>
  </si>
  <si>
    <t xml:space="preserve">  // parm_index_t parmIndex;</t>
  </si>
  <si>
    <t xml:space="preserve">       int </t>
  </si>
  <si>
    <t>Reg_Addr;</t>
  </si>
  <si>
    <t xml:space="preserve">       enum     {READ_IOUT, READ_VOUT, READ_TEMPERATURE_1, READ_TEMPERATURE_2} meas_type;</t>
  </si>
  <si>
    <t xml:space="preserve">       char </t>
  </si>
  <si>
    <t>Parm_name[64];</t>
  </si>
  <si>
    <t xml:space="preserve">       char     Units[6];</t>
  </si>
  <si>
    <t xml:space="preserve">       enum     {linear11, linear16} format;</t>
  </si>
  <si>
    <t xml:space="preserve">    } pol_i2c_data_t;</t>
  </si>
  <si>
    <t>pol_i2c_data_t pol_i2c_data_tps[POL_NUM_REGS] = // x loop</t>
  </si>
  <si>
    <t xml:space="preserve">       {0x8B, READ_VOUT, </t>
  </si>
  <si>
    <t xml:space="preserve">    "READ VOUT             ", "V", linear16},</t>
  </si>
  <si>
    <t xml:space="preserve">       {0x8C, READ_IOUT, </t>
  </si>
  <si>
    <t xml:space="preserve">    "READ IOUT             ", "A", linear11},</t>
  </si>
  <si>
    <t xml:space="preserve">       {0x8E, READ_TEMPERATURE_2, </t>
  </si>
  <si>
    <t>READ TEMPERATURE 2    , "C", linear11}</t>
  </si>
  <si>
    <t xml:space="preserve">    };</t>
  </si>
  <si>
    <t>pol_i2c_data_t pol_i2c_data_ucd[POL_NUM_REGS] = // x loop</t>
  </si>
  <si>
    <t>READ VOUT             , "V", linear16},</t>
  </si>
  <si>
    <t>READ IOUT             , "A", linear11},</t>
  </si>
  <si>
    <t xml:space="preserve">       {0x8D, READ_TEMPERATURE_1, </t>
  </si>
  <si>
    <t>READ TEMPERATURE 1    , "C", linear11}</t>
  </si>
  <si>
    <t xml:space="preserve">        enum</t>
  </si>
  <si>
    <t>{TPS, UCD}</t>
  </si>
  <si>
    <t>Dev_Type;</t>
  </si>
  <si>
    <t xml:space="preserve">        char </t>
  </si>
  <si>
    <t>PM_Deivce[20];</t>
  </si>
  <si>
    <t>Rail[48];</t>
  </si>
  <si>
    <t xml:space="preserve">        int </t>
  </si>
  <si>
    <t>Device_ID;</t>
  </si>
  <si>
    <t>Num_Phases;</t>
  </si>
  <si>
    <t xml:space="preserve">    } PM_POL_t;</t>
  </si>
  <si>
    <t>PM_POL_t pol_dev_parms[NUM_OF_POLS]= // i loop</t>
  </si>
  <si>
    <t xml:space="preserve">      {TPS, "TPS544C22   U66 ", "+3.3V                ", 0x38, 0},</t>
  </si>
  <si>
    <t xml:space="preserve">      {UCD, "UCD9224     U35 ", "DA_1V0_POL_CJ_VCCINT ", 0x66, 2}, // 2 PHASES (0X00 &amp; 0X01)</t>
  </si>
  <si>
    <t xml:space="preserve">      {TPS, "TPS544C22   U50 ", "DA_1V2_POL_CJ_MGTAVTT", 0x02, 0},</t>
  </si>
  <si>
    <t xml:space="preserve">      {TPS, "TPS544C22   U49 ", "DA_1V0_POL_CJ_MGTAVCC", 0x10, 0},</t>
  </si>
  <si>
    <t xml:space="preserve">      {UCD, "UCD9224     U170", "L2_VDD               ", 0x68, 4}, // 4 PHASES (0X00, 0X01, 0X02, 0X03</t>
  </si>
  <si>
    <t xml:space="preserve">      {TPS, "TPS544C22   U94 ", "L2_AVDD              ", 0x18, 0}</t>
  </si>
  <si>
    <t>TPS</t>
  </si>
  <si>
    <t>UCD</t>
  </si>
  <si>
    <t>Index</t>
  </si>
  <si>
    <t>Phases</t>
  </si>
  <si>
    <t>Reg_Addr</t>
  </si>
  <si>
    <t>Device_ID</t>
  </si>
  <si>
    <t>0x38</t>
  </si>
  <si>
    <t>0x66</t>
  </si>
  <si>
    <t>0x02</t>
  </si>
  <si>
    <t>0x10</t>
  </si>
  <si>
    <t>0x18</t>
  </si>
  <si>
    <t>0x68</t>
  </si>
  <si>
    <t>0x8C</t>
  </si>
  <si>
    <t>0x8D</t>
  </si>
  <si>
    <t>linear11</t>
  </si>
  <si>
    <t>parm_index_t   parmIndex;</t>
  </si>
  <si>
    <t>int   Reg_Addr;</t>
  </si>
  <si>
    <t>int   Device_ID;</t>
  </si>
  <si>
    <t>PM_POL_t   Pol_Data[NUM_POL_PARMS] =</t>
  </si>
  <si>
    <t>enum     {linear11, linear16_9, linear16_12} format;</t>
  </si>
  <si>
    <t>linear16_9</t>
  </si>
  <si>
    <t>linear16_12</t>
  </si>
  <si>
    <t>int   Phase_num;</t>
  </si>
  <si>
    <t>0x8B</t>
  </si>
  <si>
    <t>Port_exp_0</t>
  </si>
  <si>
    <t>Port_exp_1</t>
  </si>
  <si>
    <t>S</t>
  </si>
  <si>
    <t>C Structure</t>
  </si>
  <si>
    <t>Scr1 Col1 Row 1</t>
  </si>
  <si>
    <t>Scr1 Col1 Row 2</t>
  </si>
  <si>
    <t>Scr1 Col1 Row 3</t>
  </si>
  <si>
    <t>Scr1 Col1 Row 4</t>
  </si>
  <si>
    <t>Scr1 Col1 Row 5</t>
  </si>
  <si>
    <t>Scr1 Col1 Row 6</t>
  </si>
  <si>
    <t>Scr1 Col1 Row 7</t>
  </si>
  <si>
    <t>Scr1 Col1 Row 8</t>
  </si>
  <si>
    <t>Scr1 Col1 Row 9</t>
  </si>
  <si>
    <t>Scr1 Col1 Row 10</t>
  </si>
  <si>
    <t>Scr1 Col1 Row 11</t>
  </si>
  <si>
    <t>Scr1 Col1 Row 12</t>
  </si>
  <si>
    <t>Scr1 Col1 Row 13</t>
  </si>
  <si>
    <t>Scr1 Col1 Row 14</t>
  </si>
  <si>
    <t>Scr1 Col1 Row 15</t>
  </si>
  <si>
    <t>Scr1 Col1 Row 16</t>
  </si>
  <si>
    <t>Scr1 Col1 Row 17</t>
  </si>
  <si>
    <t>Scr1 Col1 Row 18</t>
  </si>
  <si>
    <t>Scr1 Col1 Row 19</t>
  </si>
  <si>
    <t>Scr1 Col1 Row 20</t>
  </si>
  <si>
    <t>Scr1 Col1 Row 21</t>
  </si>
  <si>
    <t>Scr1 Col1 Row 22</t>
  </si>
  <si>
    <t>Scr1 Col1 Row 23</t>
  </si>
  <si>
    <t>Scr1 Col1 Row 24</t>
  </si>
  <si>
    <t>Scr1 Col2 Row 1</t>
  </si>
  <si>
    <t>Scr1 Col2 Row 2</t>
  </si>
  <si>
    <t>Scr1 Col2 Row 3</t>
  </si>
  <si>
    <t>Scr1 Col2 Row 4</t>
  </si>
  <si>
    <t>Scr1 Col2 Row 5</t>
  </si>
  <si>
    <t>Scr1 Col2 Row 6</t>
  </si>
  <si>
    <t>Scr1 Col2 Row 7</t>
  </si>
  <si>
    <t>Scr1 Col2 Row 8</t>
  </si>
  <si>
    <t>Scr1 Col2 Row 9</t>
  </si>
  <si>
    <t>Scr1 Col2 Row 10</t>
  </si>
  <si>
    <t>Scr1 Col2 Row 11</t>
  </si>
  <si>
    <t>Scr1 Col2 Row 12</t>
  </si>
  <si>
    <t>Scr1 Col2 Row 13</t>
  </si>
  <si>
    <t>Scr1 Col2 Row 14</t>
  </si>
  <si>
    <t>Scr1 Col2 Row 15</t>
  </si>
  <si>
    <t>Scr1 Col2 Row 16</t>
  </si>
  <si>
    <t>Scr1 Col2 Row 17</t>
  </si>
  <si>
    <t>Scr1 Col2 Row 18</t>
  </si>
  <si>
    <t>Scr1 Col2 Row 19</t>
  </si>
  <si>
    <t>Scr1 Col2 Row 20</t>
  </si>
  <si>
    <t>Scr1 Col2 Row 21</t>
  </si>
  <si>
    <t>Scr1 Col2 Row 22</t>
  </si>
  <si>
    <t>Scr1 Col2 Row 23</t>
  </si>
  <si>
    <t>Scr1 Col2 Row 24</t>
  </si>
  <si>
    <t>Scr1 Col3 Row 1</t>
  </si>
  <si>
    <t>Scr1 Col3 Row 2</t>
  </si>
  <si>
    <t>Scr1 Col3 Row 3</t>
  </si>
  <si>
    <t>Scr1 Col3 Row 4</t>
  </si>
  <si>
    <t>Scr1 Col3 Row 5</t>
  </si>
  <si>
    <t>Scr1 Col3 Row 6</t>
  </si>
  <si>
    <t>Scr1 Col3 Row 7</t>
  </si>
  <si>
    <t>Scr1 Col3 Row 8</t>
  </si>
  <si>
    <t>Scr1 Col3 Row 9</t>
  </si>
  <si>
    <t>Scr1 Col3 Row 10</t>
  </si>
  <si>
    <t>Scr1 Col3 Row 11</t>
  </si>
  <si>
    <t>Scr1 Col3 Row 12</t>
  </si>
  <si>
    <t>Scr1 Col3 Row 13</t>
  </si>
  <si>
    <t>Scr1 Col3 Row 14</t>
  </si>
  <si>
    <t>Scr1 Col3 Row 15</t>
  </si>
  <si>
    <t>Scr1 Col3 Row 16</t>
  </si>
  <si>
    <t>Scr1 Col3 Row 17</t>
  </si>
  <si>
    <t>Scr1 Col3 Row 18</t>
  </si>
  <si>
    <t>Scr1 Col3 Row 19</t>
  </si>
  <si>
    <t>Scr1 Col3 Row 20</t>
  </si>
  <si>
    <t>Scr1 Col3 Row 21</t>
  </si>
  <si>
    <t>Scr1 Col3 Row 22</t>
  </si>
  <si>
    <t>Scr1 Col3 Row 23</t>
  </si>
  <si>
    <t>Scr1 Col3 Row 24</t>
  </si>
  <si>
    <t>Scr2 Col1 Row 1</t>
  </si>
  <si>
    <t>Scr2 Col1 Row 2</t>
  </si>
  <si>
    <t>Scr2 Col1 Row 3</t>
  </si>
  <si>
    <t>Scr2 Col1 Row 4</t>
  </si>
  <si>
    <t>Scr2 Col1 Row 5</t>
  </si>
  <si>
    <t>Scr2 Col1 Row 6</t>
  </si>
  <si>
    <t>Scr2 Col1 Row 7</t>
  </si>
  <si>
    <t>Scr2 Col1 Row 8</t>
  </si>
  <si>
    <t>Scr2 Col1 Row 9</t>
  </si>
  <si>
    <t>Scr2 Col1 Row 10</t>
  </si>
  <si>
    <t>Scr2 Col1 Row 11</t>
  </si>
  <si>
    <t>Scr2 Col1 Row 12</t>
  </si>
  <si>
    <t>Scr2 Col1 Row 13</t>
  </si>
  <si>
    <t>Scr2 Col1 Row 14</t>
  </si>
  <si>
    <t>Scr2 Col1 Row 15</t>
  </si>
  <si>
    <t>Scr2 Col1 Row 16</t>
  </si>
  <si>
    <t>Scr2 Col1 Row 17</t>
  </si>
  <si>
    <t>Scr2 Col1 Row 18</t>
  </si>
  <si>
    <t>Scr2 Col1 Row 19</t>
  </si>
  <si>
    <t>Scr2 Col1 Row 20</t>
  </si>
  <si>
    <t>Scr2 Col1 Row 21</t>
  </si>
  <si>
    <t>Scr2 Col1 Row 22</t>
  </si>
  <si>
    <t>Scr2 Col1 Row 23</t>
  </si>
  <si>
    <t>Scr2 Col1 Row 24</t>
  </si>
  <si>
    <t>Scr2 Col2 Row 1</t>
  </si>
  <si>
    <t>Scr2 Col2 Row 2</t>
  </si>
  <si>
    <t>Scr2 Col2 Row 3</t>
  </si>
  <si>
    <t>Scr2 Col2 Row 4</t>
  </si>
  <si>
    <t>Scr2 Col2 Row 5</t>
  </si>
  <si>
    <t>Scr2 Col2 Row 6</t>
  </si>
  <si>
    <t>Scr2 Col2 Row 7</t>
  </si>
  <si>
    <t>Scr2 Col2 Row 8</t>
  </si>
  <si>
    <t>Scr2 Col2 Row 9</t>
  </si>
  <si>
    <t>Scr2 Col2 Row 10</t>
  </si>
  <si>
    <t>Scr2 Col2 Row 11</t>
  </si>
  <si>
    <t>Scr2 Col2 Row 12</t>
  </si>
  <si>
    <t>Scr2 Col2 Row 13</t>
  </si>
  <si>
    <t>Scr2 Col2 Row 14</t>
  </si>
  <si>
    <t>Scr2 Col2 Row 15</t>
  </si>
  <si>
    <t>Scr2 Col2 Row 16</t>
  </si>
  <si>
    <t>Scr2 Col2 Row 17</t>
  </si>
  <si>
    <t>Scr2 Col2 Row 18</t>
  </si>
  <si>
    <t>Scr2 Col2 Row 19</t>
  </si>
  <si>
    <t>Scr2 Col2 Row 20</t>
  </si>
  <si>
    <t>Scr2 Col2 Row 21</t>
  </si>
  <si>
    <t>Scr2 Col2 Row 22</t>
  </si>
  <si>
    <t>Scr2 Col2 Row 23</t>
  </si>
  <si>
    <t>Scr2 Col2 Row 24</t>
  </si>
  <si>
    <t>Scr2 Col3 Row 1</t>
  </si>
  <si>
    <t>Scr2 Col3 Row 2</t>
  </si>
  <si>
    <t>Scr2 Col3 Row 3</t>
  </si>
  <si>
    <t>Scr2 Col3 Row 4</t>
  </si>
  <si>
    <t>Scr2 Col3 Row 5</t>
  </si>
  <si>
    <t>Scr2 Col3 Row 6</t>
  </si>
  <si>
    <t>Scr2 Col3 Row 7</t>
  </si>
  <si>
    <t>Scr2 Col3 Row 8</t>
  </si>
  <si>
    <t>Scr2 Col3 Row 9</t>
  </si>
  <si>
    <t>Scr2 Col3 Row 10</t>
  </si>
  <si>
    <t>Scr2 Col3 Row 11</t>
  </si>
  <si>
    <t>Scr2 Col3 Row 12</t>
  </si>
  <si>
    <t>Scr2 Col3 Row 13</t>
  </si>
  <si>
    <t>Scr2 Col3 Row 14</t>
  </si>
  <si>
    <t>Scr2 Col3 Row 15</t>
  </si>
  <si>
    <t>Scr2 Col3 Row 16</t>
  </si>
  <si>
    <t>Scr2 Col3 Row 17</t>
  </si>
  <si>
    <t>Scr2 Col3 Row 18</t>
  </si>
  <si>
    <t>Scr2 Col3 Row 19</t>
  </si>
  <si>
    <t>Scr2 Col3 Row 20</t>
  </si>
  <si>
    <t>Scr2 Col3 Row 21</t>
  </si>
  <si>
    <t>Scr2 Col3 Row 22</t>
  </si>
  <si>
    <t>Scr2 Col3 Row 23</t>
  </si>
  <si>
    <t>Scr2 Col3 Row 24</t>
  </si>
  <si>
    <t>Scr3 Col1 Row 1</t>
  </si>
  <si>
    <t>Scr3 Col1 Row 2</t>
  </si>
  <si>
    <t>Scr3 Col1 Row 3</t>
  </si>
  <si>
    <t>Scr3 Col1 Row 4</t>
  </si>
  <si>
    <t>Scr3 Col1 Row 5</t>
  </si>
  <si>
    <t>Scr3 Col1 Row 6</t>
  </si>
  <si>
    <t>Scr3 Col1 Row 7</t>
  </si>
  <si>
    <t>Scr3 Col1 Row 8</t>
  </si>
  <si>
    <t>Scr3 Col1 Row 9</t>
  </si>
  <si>
    <t>Scr3 Col1 Row 10</t>
  </si>
  <si>
    <t>Scr3 Col1 Row 11</t>
  </si>
  <si>
    <t>Scr3 Col1 Row 12</t>
  </si>
  <si>
    <t>Scr3 Col1 Row 13</t>
  </si>
  <si>
    <t>Scr3 Col1 Row 14</t>
  </si>
  <si>
    <t>Scr3 Col1 Row 15</t>
  </si>
  <si>
    <t>Scr3 Col1 Row 16</t>
  </si>
  <si>
    <t>Scr3 Col1 Row 17</t>
  </si>
  <si>
    <t>Scr3 Col1 Row 18</t>
  </si>
  <si>
    <t>Scr3 Col1 Row 19</t>
  </si>
  <si>
    <t>Scr3 Col1 Row 20</t>
  </si>
  <si>
    <t>Scr3 Col1 Row 21</t>
  </si>
  <si>
    <t>Scr3 Col1 Row 22</t>
  </si>
  <si>
    <t>Scr3 Col1 Row 23</t>
  </si>
  <si>
    <t>Scr3 Col1 Row 24</t>
  </si>
  <si>
    <t>Scr3 Col1 Row 25</t>
  </si>
  <si>
    <t>Scr3 Col1 Row 26</t>
  </si>
  <si>
    <t>Scr3 Col1 Row 27</t>
  </si>
  <si>
    <t>Scr3 Col1 Row 28</t>
  </si>
  <si>
    <t>Scr3 Col1 Row 29</t>
  </si>
  <si>
    <t>Scr3 Col1 Row 30</t>
  </si>
  <si>
    <t>Scr3 Col1 Row 31</t>
  </si>
  <si>
    <t>Scr3 Col1 Row 32</t>
  </si>
  <si>
    <t>Scr3 Col1 Row 33</t>
  </si>
  <si>
    <t>Scr3 Col1 Row 34</t>
  </si>
  <si>
    <t>Scr3 Col1 Row 35</t>
  </si>
  <si>
    <t>Scr3 Col1 Row 36</t>
  </si>
  <si>
    <t>Scr3 Col1 Row 37</t>
  </si>
  <si>
    <t>Scr3 Col1 Row 38</t>
  </si>
  <si>
    <t>Scr3 Col1 Row 39</t>
  </si>
  <si>
    <t>Scr3 Col1 Row 40</t>
  </si>
  <si>
    <t>Scr3 Col1 Row 41</t>
  </si>
  <si>
    <t>Scr3 Col1 Row 42</t>
  </si>
  <si>
    <t>Scr3 Col1 Row 43</t>
  </si>
  <si>
    <t>Scr3 Col1 Row 44</t>
  </si>
  <si>
    <t>Scr3 Col1 Row 45</t>
  </si>
  <si>
    <t>Scr3 Col1 Row 46</t>
  </si>
  <si>
    <t>Scr3 Col1 Row 47</t>
  </si>
  <si>
    <t>Scr3 Col1 Row 48</t>
  </si>
  <si>
    <t>Scr3 Col2 Row 1</t>
  </si>
  <si>
    <t>Scr3 Col2 Row 2</t>
  </si>
  <si>
    <t>Scr3 Col2 Row 3</t>
  </si>
  <si>
    <t>Scr3 Col2 Row 4</t>
  </si>
  <si>
    <t>Scr3 Col2 Row 5</t>
  </si>
  <si>
    <t>Scr3 Col2 Row 6</t>
  </si>
  <si>
    <t>Scr3 Col2 Row 7</t>
  </si>
  <si>
    <t>Scr3 Col2 Row 8</t>
  </si>
  <si>
    <t>Scr3 Col2 Row 9</t>
  </si>
  <si>
    <t>Scr3 Col2 Row 10</t>
  </si>
  <si>
    <t>Scr3 Col2 Row 11</t>
  </si>
  <si>
    <t>Scr3 Col2 Row 12</t>
  </si>
  <si>
    <t>Scr3 Col2 Row 13</t>
  </si>
  <si>
    <t>Scr3 Col2 Row 14</t>
  </si>
  <si>
    <t>Scr3 Col2 Row 15</t>
  </si>
  <si>
    <t>Scr3 Col2 Row 16</t>
  </si>
  <si>
    <t>Scr3 Col2 Row 17</t>
  </si>
  <si>
    <t>Scr3 Col2 Row 18</t>
  </si>
  <si>
    <t>Scr3 Col2 Row 19</t>
  </si>
  <si>
    <t>Scr3 Col2 Row 20</t>
  </si>
  <si>
    <t>Scr3 Col2 Row 21</t>
  </si>
  <si>
    <t>Scr3 Col2 Row 22</t>
  </si>
  <si>
    <t>Scr3 Col2 Row 23</t>
  </si>
  <si>
    <t>Scr3 Col2 Row 24</t>
  </si>
  <si>
    <t>Scr3 Col2 Row 25</t>
  </si>
  <si>
    <t>Scr3 Col2 Row 26</t>
  </si>
  <si>
    <t>Scr3 Col2 Row 27</t>
  </si>
  <si>
    <t>Scr3 Col2 Row 28</t>
  </si>
  <si>
    <t>Scr3 Col2 Row 29</t>
  </si>
  <si>
    <t>Scr3 Col2 Row 30</t>
  </si>
  <si>
    <t>Scr3 Col2 Row 31</t>
  </si>
  <si>
    <t>Scr3 Col2 Row 32</t>
  </si>
  <si>
    <t>Scr3 Col2 Row 33</t>
  </si>
  <si>
    <t>Scr3 Col2 Row 34</t>
  </si>
  <si>
    <t>Scr3 Col2 Row 35</t>
  </si>
  <si>
    <t>Scr3 Col2 Row 36</t>
  </si>
  <si>
    <t>Scr3 Col2 Row 37</t>
  </si>
  <si>
    <t>Scr3 Col2 Row 38</t>
  </si>
  <si>
    <t>Scr3 Col2 Row 39</t>
  </si>
  <si>
    <t>Scr3 Col2 Row 40</t>
  </si>
  <si>
    <t>Scr3 Col2 Row 41</t>
  </si>
  <si>
    <t>Scr3 Col2 Row 42</t>
  </si>
  <si>
    <t>Scr3 Col2 Row 43</t>
  </si>
  <si>
    <t>Scr3 Col2 Row 44</t>
  </si>
  <si>
    <t>Scr3 Col2 Row 45</t>
  </si>
  <si>
    <t>Scr3 Col2 Row 46</t>
  </si>
  <si>
    <t>Scr3 Col2 Row 47</t>
  </si>
  <si>
    <t>Scr3 Col2 Row 48</t>
  </si>
  <si>
    <t>Scr3 Col3 Row 1</t>
  </si>
  <si>
    <t>Scr3 Col3 Row 2</t>
  </si>
  <si>
    <t>Scr3 Col3 Row 3</t>
  </si>
  <si>
    <t>Scr3 Col3 Row 4</t>
  </si>
  <si>
    <t>Scr3 Col3 Row 5</t>
  </si>
  <si>
    <t>Scr3 Col3 Row 6</t>
  </si>
  <si>
    <t>Scr3 Col3 Row 7</t>
  </si>
  <si>
    <t>Scr3 Col3 Row 8</t>
  </si>
  <si>
    <t>Scr3 Col3 Row 9</t>
  </si>
  <si>
    <t>Scr3 Col3 Row 10</t>
  </si>
  <si>
    <t>Scr3 Col3 Row 11</t>
  </si>
  <si>
    <t>Scr3 Col3 Row 12</t>
  </si>
  <si>
    <t>Scr3 Col3 Row 13</t>
  </si>
  <si>
    <t>Scr3 Col3 Row 14</t>
  </si>
  <si>
    <t>Scr3 Col3 Row 15</t>
  </si>
  <si>
    <t>Scr3 Col3 Row 16</t>
  </si>
  <si>
    <t>Scr3 Col3 Row 17</t>
  </si>
  <si>
    <t>Scr3 Col3 Row 18</t>
  </si>
  <si>
    <t>Scr3 Col3 Row 19</t>
  </si>
  <si>
    <t>Scr3 Col3 Row 20</t>
  </si>
  <si>
    <t>Scr3 Col3 Row 21</t>
  </si>
  <si>
    <t>Scr3 Col3 Row 22</t>
  </si>
  <si>
    <t>Scr3 Col3 Row 23</t>
  </si>
  <si>
    <t>Scr3 Col3 Row 24</t>
  </si>
  <si>
    <t>Scr3 Col3 Row 25</t>
  </si>
  <si>
    <t>Scr3 Col3 Row 26</t>
  </si>
  <si>
    <t>Scr3 Col3 Row 27</t>
  </si>
  <si>
    <t>Scr3 Col3 Row 28</t>
  </si>
  <si>
    <t>Scr3 Col3 Row 29</t>
  </si>
  <si>
    <t>Scr3 Col3 Row 30</t>
  </si>
  <si>
    <t>Scr3 Col3 Row 31</t>
  </si>
  <si>
    <t>Scr3 Col3 Row 32</t>
  </si>
  <si>
    <t>Scr3 Col3 Row 33</t>
  </si>
  <si>
    <t>Scr3 Col3 Row 34</t>
  </si>
  <si>
    <t>Scr3 Col3 Row 35</t>
  </si>
  <si>
    <t>Scr3 Col3 Row 36</t>
  </si>
  <si>
    <t>Scr3 Col3 Row 37</t>
  </si>
  <si>
    <t>Scr3 Col3 Row 38</t>
  </si>
  <si>
    <t>Scr3 Col3 Row 39</t>
  </si>
  <si>
    <t>Scr3 Col3 Row 40</t>
  </si>
  <si>
    <t>Scr3 Col3 Row 41</t>
  </si>
  <si>
    <t>Scr3 Col3 Row 42</t>
  </si>
  <si>
    <t>Scr3 Col3 Row 43</t>
  </si>
  <si>
    <t>Scr3 Col3 Row 44</t>
  </si>
  <si>
    <t>Scr3 Col3 Row 45</t>
  </si>
  <si>
    <t>Scr3 Col3 Row 46</t>
  </si>
  <si>
    <t>Scr3 Col3 Row 47</t>
  </si>
  <si>
    <t>Scr3 Col3 Row 48</t>
  </si>
  <si>
    <t>$B$24&amp;"</t>
  </si>
  <si>
    <t xml:space="preserve"> "&amp;$T$24&amp;"</t>
  </si>
  <si>
    <t xml:space="preserve"> "&amp;$AL$24&amp;"</t>
  </si>
  <si>
    <t xml:space="preserve"> "&amp;$B$25&amp;"</t>
  </si>
  <si>
    <t xml:space="preserve"> "&amp;$T$25&amp;"</t>
  </si>
  <si>
    <t xml:space="preserve"> "&amp;$AL$25&amp;"</t>
  </si>
  <si>
    <t xml:space="preserve"> "&amp;$B$26&amp;"</t>
  </si>
  <si>
    <t xml:space="preserve"> "&amp;$T$26&amp;"</t>
  </si>
  <si>
    <t xml:space="preserve"> "&amp;$AL$26&amp;"</t>
  </si>
  <si>
    <t xml:space="preserve"> "&amp;$B$27&amp;"</t>
  </si>
  <si>
    <t xml:space="preserve"> "&amp;$T$27&amp;"</t>
  </si>
  <si>
    <t xml:space="preserve"> "&amp;$AL$27&amp;"</t>
  </si>
  <si>
    <t xml:space="preserve"> "&amp;$B$28&amp;"</t>
  </si>
  <si>
    <t xml:space="preserve"> "&amp;$T$28&amp;"</t>
  </si>
  <si>
    <t xml:space="preserve"> "&amp;$AL$28&amp;"</t>
  </si>
  <si>
    <t xml:space="preserve"> "&amp;$B$29&amp;"</t>
  </si>
  <si>
    <t xml:space="preserve"> "&amp;$T$29&amp;"</t>
  </si>
  <si>
    <t xml:space="preserve"> "&amp;$AL$29&amp;"</t>
  </si>
  <si>
    <t xml:space="preserve"> "&amp;$B$30&amp;"</t>
  </si>
  <si>
    <t xml:space="preserve"> "&amp;$T$30&amp;"</t>
  </si>
  <si>
    <t xml:space="preserve"> "&amp;$AL$30&amp;"</t>
  </si>
  <si>
    <t xml:space="preserve"> "&amp;$B$31&amp;"</t>
  </si>
  <si>
    <t xml:space="preserve"> "&amp;$T$31&amp;"</t>
  </si>
  <si>
    <t xml:space="preserve"> "&amp;$AL$31&amp;"</t>
  </si>
  <si>
    <t>$B$16&amp;"</t>
  </si>
  <si>
    <t xml:space="preserve"> "&amp;$T$16&amp;"</t>
  </si>
  <si>
    <t xml:space="preserve"> "&amp;$AL$16&amp;"</t>
  </si>
  <si>
    <t xml:space="preserve"> "&amp;$B$17&amp;"</t>
  </si>
  <si>
    <t xml:space="preserve"> "&amp;$T$17&amp;"</t>
  </si>
  <si>
    <t xml:space="preserve"> "&amp;AL2&amp;"</t>
  </si>
  <si>
    <t xml:space="preserve"> "&amp;$B$18&amp;"</t>
  </si>
  <si>
    <t xml:space="preserve"> "&amp;$T$18&amp;"</t>
  </si>
  <si>
    <t xml:space="preserve"> "&amp;$AL$17&amp;"</t>
  </si>
  <si>
    <t xml:space="preserve"> "&amp;$B$19&amp;"</t>
  </si>
  <si>
    <t xml:space="preserve"> "&amp;$T$19&amp;"</t>
  </si>
  <si>
    <t xml:space="preserve"> "&amp;$AL$19&amp;"</t>
  </si>
  <si>
    <t xml:space="preserve"> "&amp;$B$20&amp;"</t>
  </si>
  <si>
    <t xml:space="preserve"> "&amp;$T$20&amp;"</t>
  </si>
  <si>
    <t xml:space="preserve"> "&amp;$AL$20&amp;"</t>
  </si>
  <si>
    <t xml:space="preserve"> "&amp;$B$21&amp;"</t>
  </si>
  <si>
    <t xml:space="preserve"> "&amp;$T$21&amp;"</t>
  </si>
  <si>
    <t xml:space="preserve"> "&amp;$AL$21&amp;"</t>
  </si>
  <si>
    <t xml:space="preserve"> "&amp;$B$22&amp;"</t>
  </si>
  <si>
    <t xml:space="preserve"> "&amp;$T$22&amp;"</t>
  </si>
  <si>
    <t xml:space="preserve"> "&amp;$AL$22&amp;"</t>
  </si>
  <si>
    <t xml:space="preserve"> "&amp;$B$23&amp;"</t>
  </si>
  <si>
    <t xml:space="preserve"> "&amp;$T$23&amp;"</t>
  </si>
  <si>
    <t xml:space="preserve"> "&amp;$AL$23&amp;"</t>
  </si>
  <si>
    <t xml:space="preserve">_x000D_
</t>
  </si>
  <si>
    <t>$B$8&amp;"</t>
  </si>
  <si>
    <t xml:space="preserve"> "&amp;$T$8&amp;"</t>
  </si>
  <si>
    <t xml:space="preserve"> "&amp;$AL$8&amp;"</t>
  </si>
  <si>
    <t xml:space="preserve"> "&amp;$B$9&amp;"</t>
  </si>
  <si>
    <t xml:space="preserve"> "&amp;$T$9&amp;"</t>
  </si>
  <si>
    <t xml:space="preserve"> "&amp;$AL$9&amp;"</t>
  </si>
  <si>
    <t xml:space="preserve"> "&amp;$B$10&amp;"</t>
  </si>
  <si>
    <t xml:space="preserve"> "&amp;$T$10&amp;"</t>
  </si>
  <si>
    <t xml:space="preserve"> "&amp;$AL$10&amp;"</t>
  </si>
  <si>
    <t xml:space="preserve"> "&amp;$B$11&amp;"</t>
  </si>
  <si>
    <t xml:space="preserve"> "&amp;$T$11&amp;"</t>
  </si>
  <si>
    <t xml:space="preserve"> "&amp;$AL$11&amp;"</t>
  </si>
  <si>
    <t xml:space="preserve"> "&amp;$B$12&amp;"</t>
  </si>
  <si>
    <t xml:space="preserve"> "&amp;$T$12&amp;"</t>
  </si>
  <si>
    <t xml:space="preserve"> "&amp;$AL$12&amp;"</t>
  </si>
  <si>
    <t xml:space="preserve"> "&amp;$B$13&amp;"</t>
  </si>
  <si>
    <t xml:space="preserve"> "&amp;$T$13&amp;"</t>
  </si>
  <si>
    <t xml:space="preserve"> "&amp;$AL$13&amp;"</t>
  </si>
  <si>
    <t xml:space="preserve"> "&amp;$B$14&amp;"</t>
  </si>
  <si>
    <t xml:space="preserve"> "&amp;$T$14&amp;"</t>
  </si>
  <si>
    <t xml:space="preserve"> "&amp;$AL$14&amp;"</t>
  </si>
  <si>
    <t xml:space="preserve"> "&amp;$B$15&amp;"</t>
  </si>
  <si>
    <t xml:space="preserve"> "&amp;$T$15&amp;"</t>
  </si>
  <si>
    <t xml:space="preserve"> "&amp;$AL$15&amp;"</t>
  </si>
  <si>
    <t xml:space="preserve"> "&amp;#REF!&amp;"</t>
  </si>
  <si>
    <t>$B$16&amp;",</t>
  </si>
  <si>
    <t>"&amp;$T$16&amp;",</t>
  </si>
  <si>
    <t>"&amp;$AL$16&amp;",</t>
  </si>
  <si>
    <t>"&amp;$B$17&amp;",</t>
  </si>
  <si>
    <t>"&amp;$T$17&amp;",</t>
  </si>
  <si>
    <t>"&amp;#REF!&amp;",</t>
  </si>
  <si>
    <t>"&amp;$B$18&amp;",</t>
  </si>
  <si>
    <t>"&amp;$T$18&amp;",</t>
  </si>
  <si>
    <t>"&amp;$AL$17&amp;",</t>
  </si>
  <si>
    <t>"&amp;$B$19&amp;",</t>
  </si>
  <si>
    <t>"&amp;$T$19&amp;",</t>
  </si>
  <si>
    <t>"&amp;$AL$19&amp;",</t>
  </si>
  <si>
    <t>"&amp;$B$20&amp;",</t>
  </si>
  <si>
    <t>"&amp;$T$20&amp;",</t>
  </si>
  <si>
    <t>"&amp;$AL$20&amp;",</t>
  </si>
  <si>
    <t>"&amp;$B$21&amp;",</t>
  </si>
  <si>
    <t>"&amp;$T$21&amp;",</t>
  </si>
  <si>
    <t>"&amp;$AL$21&amp;",</t>
  </si>
  <si>
    <t>"&amp;$B$22&amp;",</t>
  </si>
  <si>
    <t>"&amp;$T$22&amp;",</t>
  </si>
  <si>
    <t>"&amp;$AL$22&amp;",</t>
  </si>
  <si>
    <t>"&amp;$B$23&amp;",</t>
  </si>
  <si>
    <t>"&amp;$T$23&amp;",</t>
  </si>
  <si>
    <t>"&amp;$AL$23&amp;","</t>
  </si>
  <si>
    <t xml:space="preserve"> "&amp;$AL$18&amp;"</t>
  </si>
  <si>
    <t>$B$32&amp;"</t>
  </si>
  <si>
    <t xml:space="preserve"> "&amp;$T$32&amp;"</t>
  </si>
  <si>
    <t xml:space="preserve"> "&amp;$AL$32&amp;"</t>
  </si>
  <si>
    <t xml:space="preserve"> "&amp;$B$33&amp;"</t>
  </si>
  <si>
    <t xml:space="preserve"> "&amp;$T$33&amp;"</t>
  </si>
  <si>
    <t xml:space="preserve"> "&amp;$AL$33&amp;"</t>
  </si>
  <si>
    <t xml:space="preserve"> "&amp;$B$34&amp;"</t>
  </si>
  <si>
    <t xml:space="preserve"> "&amp;$T$34&amp;"</t>
  </si>
  <si>
    <t xml:space="preserve"> "&amp;$AL$34&amp;"</t>
  </si>
  <si>
    <t xml:space="preserve"> "&amp;$B$35&amp;"</t>
  </si>
  <si>
    <t xml:space="preserve"> "&amp;$T$35&amp;"</t>
  </si>
  <si>
    <t xml:space="preserve"> "&amp;$AL$35&amp;"</t>
  </si>
  <si>
    <t xml:space="preserve"> "&amp;$B$36&amp;"</t>
  </si>
  <si>
    <t xml:space="preserve"> "&amp;$T$36&amp;"</t>
  </si>
  <si>
    <t xml:space="preserve"> "&amp;$AL$36&amp;"</t>
  </si>
  <si>
    <t xml:space="preserve"> "&amp;$B$37&amp;"</t>
  </si>
  <si>
    <t xml:space="preserve"> "&amp;$T$37&amp;"</t>
  </si>
  <si>
    <t xml:space="preserve"> "&amp;$AL$37&amp;"</t>
  </si>
  <si>
    <t xml:space="preserve"> "&amp;$B$38&amp;"</t>
  </si>
  <si>
    <t xml:space="preserve"> "&amp;$T$38&amp;"</t>
  </si>
  <si>
    <t xml:space="preserve"> "&amp;$AL$38&amp;"</t>
  </si>
  <si>
    <t xml:space="preserve"> "&amp;$B$39&amp;"</t>
  </si>
  <si>
    <t xml:space="preserve"> "&amp;$T$39&amp;"</t>
  </si>
  <si>
    <t xml:space="preserve"> "&amp;$AL$39&amp;"</t>
  </si>
  <si>
    <t>$B$40&amp;"</t>
  </si>
  <si>
    <t xml:space="preserve"> "&amp;$T$40&amp;"</t>
  </si>
  <si>
    <t xml:space="preserve"> "&amp;$AL$40&amp;"</t>
  </si>
  <si>
    <t xml:space="preserve"> "&amp;$B$41&amp;"</t>
  </si>
  <si>
    <t xml:space="preserve"> "&amp;$T$41&amp;"</t>
  </si>
  <si>
    <t xml:space="preserve"> "&amp;$AL$41&amp;"</t>
  </si>
  <si>
    <t xml:space="preserve"> "&amp;$B$42&amp;"</t>
  </si>
  <si>
    <t xml:space="preserve"> "&amp;$T$42&amp;"</t>
  </si>
  <si>
    <t xml:space="preserve"> "&amp;$AL$42&amp;"</t>
  </si>
  <si>
    <t xml:space="preserve"> "&amp;$B$43&amp;"</t>
  </si>
  <si>
    <t xml:space="preserve"> "&amp;$T$43&amp;"</t>
  </si>
  <si>
    <t xml:space="preserve"> "&amp;$AL$43&amp;"</t>
  </si>
  <si>
    <t xml:space="preserve"> "&amp;$B$44&amp;"</t>
  </si>
  <si>
    <t xml:space="preserve"> "&amp;$T$44&amp;"</t>
  </si>
  <si>
    <t xml:space="preserve"> "&amp;$AL$44&amp;"</t>
  </si>
  <si>
    <t xml:space="preserve"> "&amp;$B$45&amp;"</t>
  </si>
  <si>
    <t xml:space="preserve"> "&amp;$T$45&amp;"</t>
  </si>
  <si>
    <t xml:space="preserve"> "&amp;$AL$45&amp;"</t>
  </si>
  <si>
    <t xml:space="preserve"> "&amp;$B$46&amp;"</t>
  </si>
  <si>
    <t xml:space="preserve"> "&amp;$T$46&amp;"</t>
  </si>
  <si>
    <t xml:space="preserve"> "&amp;$AL$46&amp;"</t>
  </si>
  <si>
    <t xml:space="preserve"> "&amp;$B$47&amp;"</t>
  </si>
  <si>
    <t xml:space="preserve"> "&amp;$T$47&amp;"</t>
  </si>
  <si>
    <t xml:space="preserve"> "&amp;$AL$47&amp;"</t>
  </si>
  <si>
    <t>$B$48&amp;"</t>
  </si>
  <si>
    <t xml:space="preserve"> "&amp;$T$48&amp;"</t>
  </si>
  <si>
    <t xml:space="preserve"> "&amp;$AL$48&amp;"</t>
  </si>
  <si>
    <t xml:space="preserve"> "&amp;$B$49&amp;"</t>
  </si>
  <si>
    <t xml:space="preserve"> "&amp;$T$49&amp;"</t>
  </si>
  <si>
    <t xml:space="preserve"> "&amp;$AL$49&amp;"</t>
  </si>
  <si>
    <t xml:space="preserve"> "&amp;$B$50&amp;"</t>
  </si>
  <si>
    <t xml:space="preserve"> "&amp;$T$50&amp;"</t>
  </si>
  <si>
    <t xml:space="preserve"> "&amp;$AL$50&amp;"</t>
  </si>
  <si>
    <t xml:space="preserve"> "&amp;$B$51&amp;"</t>
  </si>
  <si>
    <t xml:space="preserve"> "&amp;$T$51&amp;"</t>
  </si>
  <si>
    <t xml:space="preserve"> "&amp;$AL$51&amp;"</t>
  </si>
  <si>
    <t xml:space="preserve"> "&amp;$B$52&amp;"</t>
  </si>
  <si>
    <t xml:space="preserve"> "&amp;$T$52&amp;"</t>
  </si>
  <si>
    <t xml:space="preserve"> "&amp;$AL$52&amp;"</t>
  </si>
  <si>
    <t xml:space="preserve"> "&amp;$B$53&amp;"</t>
  </si>
  <si>
    <t xml:space="preserve"> "&amp;$T$53&amp;"</t>
  </si>
  <si>
    <t xml:space="preserve"> "&amp;$AL$53&amp;"</t>
  </si>
  <si>
    <t xml:space="preserve"> "&amp;$B$54&amp;"</t>
  </si>
  <si>
    <t xml:space="preserve"> "&amp;$T$54&amp;"</t>
  </si>
  <si>
    <t xml:space="preserve"> "&amp;$AL$54&amp;"</t>
  </si>
  <si>
    <t xml:space="preserve"> "&amp;$B$55&amp;"</t>
  </si>
  <si>
    <t xml:space="preserve"> "&amp;$T$55&amp;"</t>
  </si>
  <si>
    <t xml:space="preserve"> "&amp;$AL$55&amp;"</t>
  </si>
  <si>
    <t>&amp; Parm_Index_Last"</t>
  </si>
  <si>
    <t>"&amp;$AL$18&amp;",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</si>
</sst>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0"/>
      <color rgb="FF000000"/>
      <name val="Arial Unicode MS"/>
      <family val="2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245">
    <xf numFmtId="0" fontId="0" fillId="0" borderId="0" xfId="0"/>
    <xf numFmtId="0" fontId="0" fillId="0" borderId="1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 applyAlignment="1">
      <alignment horizontal="center" vertical="center"/>
    </xf>
    <xf numFmtId="0" fontId="0" fillId="0" borderId="7" xfId="0" applyBorder="1"/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4" xfId="0" applyBorder="1" applyAlignment="1"/>
    <xf numFmtId="0" fontId="0" fillId="0" borderId="5" xfId="0" applyBorder="1" applyAlignment="1"/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2" xfId="0" applyBorder="1"/>
    <xf numFmtId="0" fontId="0" fillId="0" borderId="0" xfId="0" applyBorder="1" applyAlignment="1"/>
    <xf numFmtId="0" fontId="0" fillId="0" borderId="2" xfId="0" applyBorder="1" applyAlignment="1"/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2" xfId="0" applyBorder="1" applyAlignment="1">
      <alignment textRotation="90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20" xfId="0" applyBorder="1"/>
    <xf numFmtId="0" fontId="0" fillId="0" borderId="15" xfId="0" applyBorder="1"/>
    <xf numFmtId="0" fontId="0" fillId="0" borderId="15" xfId="0" applyBorder="1" applyAlignment="1">
      <alignment horizontal="left" vertical="center"/>
    </xf>
    <xf numFmtId="0" fontId="0" fillId="0" borderId="21" xfId="0" applyBorder="1"/>
    <xf numFmtId="0" fontId="0" fillId="0" borderId="22" xfId="0" applyBorder="1"/>
    <xf numFmtId="0" fontId="0" fillId="0" borderId="0" xfId="0" applyBorder="1" applyAlignment="1">
      <alignment horizontal="left" vertical="center"/>
    </xf>
    <xf numFmtId="0" fontId="0" fillId="0" borderId="23" xfId="0" applyBorder="1"/>
    <xf numFmtId="0" fontId="0" fillId="0" borderId="18" xfId="0" applyBorder="1"/>
    <xf numFmtId="0" fontId="0" fillId="0" borderId="18" xfId="0" applyBorder="1" applyAlignment="1">
      <alignment horizontal="left" vertical="center"/>
    </xf>
    <xf numFmtId="0" fontId="0" fillId="0" borderId="19" xfId="0" applyBorder="1"/>
    <xf numFmtId="0" fontId="0" fillId="0" borderId="0" xfId="0" applyBorder="1" applyAlignment="1">
      <alignment horizontal="center" vertical="center"/>
    </xf>
    <xf numFmtId="0" fontId="0" fillId="0" borderId="1" xfId="0" applyBorder="1" applyAlignment="1"/>
    <xf numFmtId="0" fontId="0" fillId="0" borderId="8" xfId="0" applyBorder="1" applyAlignment="1"/>
    <xf numFmtId="0" fontId="0" fillId="0" borderId="0" xfId="0" applyBorder="1" applyAlignment="1">
      <alignment vertical="center"/>
    </xf>
    <xf numFmtId="0" fontId="0" fillId="0" borderId="12" xfId="0" applyFill="1" applyBorder="1"/>
    <xf numFmtId="0" fontId="1" fillId="0" borderId="0" xfId="0" applyFont="1"/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0" xfId="0" applyBorder="1"/>
    <xf numFmtId="0" fontId="0" fillId="0" borderId="18" xfId="0" applyBorder="1" applyAlignment="1">
      <alignment horizontal="center"/>
    </xf>
    <xf numFmtId="0" fontId="0" fillId="0" borderId="14" xfId="0" applyBorder="1"/>
    <xf numFmtId="0" fontId="0" fillId="0" borderId="21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24" xfId="0" applyBorder="1" applyAlignment="1">
      <alignment horizontal="center"/>
    </xf>
    <xf numFmtId="0" fontId="0" fillId="0" borderId="35" xfId="0" applyBorder="1"/>
    <xf numFmtId="0" fontId="0" fillId="0" borderId="20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0" fillId="0" borderId="36" xfId="0" applyFill="1" applyBorder="1" applyAlignment="1">
      <alignment horizontal="center"/>
    </xf>
    <xf numFmtId="0" fontId="0" fillId="0" borderId="37" xfId="0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0" applyFont="1"/>
    <xf numFmtId="0" fontId="5" fillId="0" borderId="0" xfId="0" applyFont="1"/>
    <xf numFmtId="0" fontId="3" fillId="3" borderId="0" xfId="2" applyAlignment="1">
      <alignment horizontal="left" vertical="center"/>
    </xf>
    <xf numFmtId="0" fontId="2" fillId="2" borderId="0" xfId="1" applyAlignment="1">
      <alignment horizontal="left" vertical="center"/>
    </xf>
    <xf numFmtId="0" fontId="0" fillId="0" borderId="16" xfId="0" applyBorder="1" applyAlignment="1">
      <alignment horizontal="left"/>
    </xf>
    <xf numFmtId="0" fontId="0" fillId="0" borderId="17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38" xfId="0" applyBorder="1" applyAlignment="1">
      <alignment horizontal="center"/>
    </xf>
    <xf numFmtId="0" fontId="0" fillId="0" borderId="42" xfId="0" applyBorder="1"/>
    <xf numFmtId="0" fontId="6" fillId="0" borderId="0" xfId="0" applyFont="1" applyBorder="1"/>
    <xf numFmtId="0" fontId="6" fillId="0" borderId="0" xfId="0" applyFont="1" applyBorder="1" applyAlignment="1">
      <alignment horizontal="left" vertical="center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/>
    <xf numFmtId="0" fontId="6" fillId="0" borderId="0" xfId="0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left" vertical="center"/>
    </xf>
    <xf numFmtId="0" fontId="6" fillId="0" borderId="20" xfId="0" applyFont="1" applyBorder="1"/>
    <xf numFmtId="0" fontId="6" fillId="0" borderId="15" xfId="0" applyFont="1" applyBorder="1"/>
    <xf numFmtId="0" fontId="6" fillId="0" borderId="8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6" fillId="0" borderId="27" xfId="0" applyFont="1" applyBorder="1"/>
    <xf numFmtId="0" fontId="6" fillId="0" borderId="8" xfId="0" applyFont="1" applyBorder="1"/>
    <xf numFmtId="0" fontId="6" fillId="0" borderId="15" xfId="0" applyFont="1" applyBorder="1" applyAlignment="1">
      <alignment horizontal="left" vertical="center"/>
    </xf>
    <xf numFmtId="0" fontId="6" fillId="0" borderId="21" xfId="0" applyFont="1" applyBorder="1" applyAlignment="1">
      <alignment horizontal="left" vertical="center"/>
    </xf>
    <xf numFmtId="0" fontId="6" fillId="0" borderId="20" xfId="0" applyFont="1" applyBorder="1" applyAlignment="1">
      <alignment horizontal="left" vertical="center"/>
    </xf>
    <xf numFmtId="0" fontId="6" fillId="0" borderId="21" xfId="0" applyFont="1" applyBorder="1"/>
    <xf numFmtId="0" fontId="6" fillId="0" borderId="22" xfId="0" applyFont="1" applyBorder="1"/>
    <xf numFmtId="0" fontId="6" fillId="0" borderId="1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6" fillId="0" borderId="16" xfId="0" applyFont="1" applyBorder="1"/>
    <xf numFmtId="0" fontId="6" fillId="0" borderId="1" xfId="0" applyFont="1" applyBorder="1"/>
    <xf numFmtId="0" fontId="6" fillId="0" borderId="23" xfId="0" applyFont="1" applyBorder="1" applyAlignment="1">
      <alignment horizontal="left" vertical="center"/>
    </xf>
    <xf numFmtId="0" fontId="6" fillId="0" borderId="22" xfId="0" applyFont="1" applyBorder="1" applyAlignment="1">
      <alignment horizontal="left" vertical="center"/>
    </xf>
    <xf numFmtId="0" fontId="6" fillId="0" borderId="23" xfId="0" applyFont="1" applyBorder="1"/>
    <xf numFmtId="0" fontId="6" fillId="0" borderId="30" xfId="0" applyFont="1" applyBorder="1"/>
    <xf numFmtId="0" fontId="6" fillId="0" borderId="18" xfId="0" applyFont="1" applyBorder="1"/>
    <xf numFmtId="0" fontId="6" fillId="0" borderId="13" xfId="0" applyFont="1" applyBorder="1" applyAlignment="1">
      <alignment horizontal="center"/>
    </xf>
    <xf numFmtId="0" fontId="6" fillId="0" borderId="18" xfId="0" applyFont="1" applyBorder="1" applyAlignment="1">
      <alignment horizontal="center"/>
    </xf>
    <xf numFmtId="0" fontId="6" fillId="0" borderId="31" xfId="0" applyFont="1" applyBorder="1"/>
    <xf numFmtId="0" fontId="6" fillId="0" borderId="13" xfId="0" applyFont="1" applyBorder="1"/>
    <xf numFmtId="0" fontId="6" fillId="0" borderId="18" xfId="0" applyFont="1" applyBorder="1" applyAlignment="1">
      <alignment horizontal="left" vertical="center"/>
    </xf>
    <xf numFmtId="0" fontId="6" fillId="0" borderId="19" xfId="0" applyFont="1" applyBorder="1" applyAlignment="1">
      <alignment horizontal="left" vertical="center"/>
    </xf>
    <xf numFmtId="0" fontId="6" fillId="0" borderId="24" xfId="0" applyFont="1" applyBorder="1" applyAlignment="1">
      <alignment horizontal="center"/>
    </xf>
    <xf numFmtId="0" fontId="6" fillId="0" borderId="36" xfId="0" applyFont="1" applyFill="1" applyBorder="1" applyAlignment="1">
      <alignment horizontal="center"/>
    </xf>
    <xf numFmtId="0" fontId="6" fillId="0" borderId="1" xfId="0" applyFont="1" applyFill="1" applyBorder="1"/>
    <xf numFmtId="0" fontId="6" fillId="0" borderId="30" xfId="0" applyFont="1" applyBorder="1" applyAlignment="1">
      <alignment horizontal="left" vertical="center"/>
    </xf>
    <xf numFmtId="0" fontId="6" fillId="0" borderId="19" xfId="0" applyFont="1" applyBorder="1"/>
    <xf numFmtId="0" fontId="6" fillId="0" borderId="0" xfId="0" applyFont="1" applyBorder="1" applyAlignment="1">
      <alignment vertical="center"/>
    </xf>
    <xf numFmtId="0" fontId="6" fillId="0" borderId="0" xfId="0" applyFont="1" applyAlignment="1">
      <alignment vertical="center"/>
    </xf>
    <xf numFmtId="0" fontId="0" fillId="0" borderId="0" xfId="0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18" xfId="0" applyBorder="1" applyAlignment="1">
      <alignment horizontal="left" vertical="top"/>
    </xf>
    <xf numFmtId="0" fontId="0" fillId="0" borderId="20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22" xfId="0" applyBorder="1" applyAlignment="1">
      <alignment horizontal="left" vertical="top"/>
    </xf>
    <xf numFmtId="0" fontId="0" fillId="0" borderId="30" xfId="0" applyBorder="1" applyAlignment="1">
      <alignment horizontal="left" vertical="top"/>
    </xf>
    <xf numFmtId="0" fontId="0" fillId="0" borderId="13" xfId="0" applyBorder="1" applyAlignment="1">
      <alignment horizontal="left" vertical="top"/>
    </xf>
    <xf numFmtId="0" fontId="0" fillId="0" borderId="24" xfId="0" applyBorder="1" applyAlignment="1">
      <alignment horizontal="left" vertical="top"/>
    </xf>
    <xf numFmtId="0" fontId="0" fillId="0" borderId="36" xfId="0" applyFill="1" applyBorder="1" applyAlignment="1">
      <alignment horizontal="left" vertical="top"/>
    </xf>
    <xf numFmtId="0" fontId="0" fillId="0" borderId="1" xfId="0" applyFill="1" applyBorder="1" applyAlignment="1">
      <alignment horizontal="left" vertical="top"/>
    </xf>
    <xf numFmtId="0" fontId="6" fillId="0" borderId="0" xfId="0" applyFont="1" applyAlignment="1">
      <alignment horizontal="left" vertical="top"/>
    </xf>
    <xf numFmtId="0" fontId="0" fillId="5" borderId="0" xfId="0" applyFill="1" applyBorder="1" applyAlignment="1">
      <alignment horizontal="left" vertical="top"/>
    </xf>
    <xf numFmtId="0" fontId="6" fillId="5" borderId="0" xfId="0" applyFont="1" applyFill="1" applyBorder="1" applyAlignment="1">
      <alignment vertical="center"/>
    </xf>
    <xf numFmtId="0" fontId="7" fillId="0" borderId="0" xfId="0" applyFont="1" applyAlignment="1">
      <alignment horizontal="left" vertical="top"/>
    </xf>
    <xf numFmtId="0" fontId="7" fillId="0" borderId="0" xfId="0" applyFont="1" applyBorder="1" applyAlignment="1">
      <alignment horizontal="left" vertical="top"/>
    </xf>
    <xf numFmtId="0" fontId="7" fillId="0" borderId="20" xfId="0" applyFont="1" applyBorder="1" applyAlignment="1">
      <alignment horizontal="left" vertical="top"/>
    </xf>
    <xf numFmtId="0" fontId="7" fillId="0" borderId="8" xfId="0" applyFont="1" applyBorder="1" applyAlignment="1">
      <alignment horizontal="left" vertical="top"/>
    </xf>
    <xf numFmtId="0" fontId="7" fillId="0" borderId="15" xfId="0" applyFont="1" applyBorder="1" applyAlignment="1">
      <alignment horizontal="left" vertical="top"/>
    </xf>
    <xf numFmtId="0" fontId="7" fillId="0" borderId="21" xfId="0" applyFont="1" applyBorder="1" applyAlignment="1">
      <alignment horizontal="left" vertical="top"/>
    </xf>
    <xf numFmtId="0" fontId="7" fillId="0" borderId="22" xfId="0" applyFont="1" applyBorder="1" applyAlignment="1">
      <alignment horizontal="left" vertical="top"/>
    </xf>
    <xf numFmtId="0" fontId="7" fillId="0" borderId="1" xfId="0" applyFont="1" applyBorder="1" applyAlignment="1">
      <alignment horizontal="left" vertical="top"/>
    </xf>
    <xf numFmtId="0" fontId="7" fillId="0" borderId="23" xfId="0" applyFont="1" applyBorder="1" applyAlignment="1">
      <alignment horizontal="left" vertical="top"/>
    </xf>
    <xf numFmtId="0" fontId="7" fillId="0" borderId="1" xfId="0" applyFont="1" applyFill="1" applyBorder="1" applyAlignment="1">
      <alignment horizontal="left" vertical="top"/>
    </xf>
    <xf numFmtId="0" fontId="7" fillId="0" borderId="30" xfId="0" applyFont="1" applyBorder="1" applyAlignment="1">
      <alignment horizontal="left" vertical="top"/>
    </xf>
    <xf numFmtId="0" fontId="7" fillId="0" borderId="13" xfId="0" applyFont="1" applyBorder="1" applyAlignment="1">
      <alignment horizontal="left" vertical="top"/>
    </xf>
    <xf numFmtId="0" fontId="7" fillId="0" borderId="18" xfId="0" applyFont="1" applyBorder="1" applyAlignment="1">
      <alignment horizontal="left" vertical="top"/>
    </xf>
    <xf numFmtId="0" fontId="7" fillId="0" borderId="13" xfId="0" applyFont="1" applyFill="1" applyBorder="1" applyAlignment="1">
      <alignment horizontal="left" vertical="top"/>
    </xf>
    <xf numFmtId="0" fontId="7" fillId="0" borderId="19" xfId="0" applyFont="1" applyBorder="1" applyAlignment="1">
      <alignment horizontal="left" vertical="top"/>
    </xf>
    <xf numFmtId="0" fontId="7" fillId="0" borderId="8" xfId="0" applyFont="1" applyFill="1" applyBorder="1" applyAlignment="1">
      <alignment horizontal="left" vertical="top"/>
    </xf>
    <xf numFmtId="0" fontId="6" fillId="0" borderId="0" xfId="0" applyFont="1" applyBorder="1" applyAlignment="1">
      <alignment horizontal="center"/>
    </xf>
    <xf numFmtId="0" fontId="0" fillId="0" borderId="0" xfId="0" applyFont="1" applyBorder="1" applyAlignment="1">
      <alignment vertical="center"/>
    </xf>
    <xf numFmtId="0" fontId="0" fillId="5" borderId="0" xfId="0" applyFont="1" applyFill="1" applyBorder="1" applyAlignment="1">
      <alignment vertical="center"/>
    </xf>
    <xf numFmtId="0" fontId="6" fillId="0" borderId="43" xfId="0" applyFont="1" applyBorder="1"/>
    <xf numFmtId="0" fontId="6" fillId="0" borderId="44" xfId="0" applyFont="1" applyBorder="1"/>
    <xf numFmtId="0" fontId="6" fillId="0" borderId="45" xfId="0" applyFont="1" applyBorder="1"/>
    <xf numFmtId="0" fontId="6" fillId="0" borderId="38" xfId="0" applyFont="1" applyBorder="1"/>
    <xf numFmtId="0" fontId="0" fillId="0" borderId="16" xfId="0" applyBorder="1" applyAlignment="1">
      <alignment horizontal="left" vertical="top"/>
    </xf>
    <xf numFmtId="0" fontId="0" fillId="0" borderId="17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4" borderId="8" xfId="0" applyFill="1" applyBorder="1" applyAlignment="1">
      <alignment horizontal="left" vertical="top"/>
    </xf>
    <xf numFmtId="0" fontId="0" fillId="0" borderId="27" xfId="0" applyBorder="1" applyAlignment="1">
      <alignment horizontal="left" vertical="top"/>
    </xf>
    <xf numFmtId="0" fontId="0" fillId="0" borderId="28" xfId="0" applyBorder="1" applyAlignment="1">
      <alignment horizontal="left" vertical="top"/>
    </xf>
    <xf numFmtId="0" fontId="0" fillId="0" borderId="29" xfId="0" applyBorder="1" applyAlignment="1">
      <alignment horizontal="left" vertical="top"/>
    </xf>
    <xf numFmtId="0" fontId="0" fillId="4" borderId="1" xfId="0" applyFill="1" applyBorder="1" applyAlignment="1">
      <alignment horizontal="left" vertical="top"/>
    </xf>
    <xf numFmtId="0" fontId="0" fillId="0" borderId="31" xfId="0" applyBorder="1" applyAlignment="1">
      <alignment horizontal="left" vertical="top"/>
    </xf>
    <xf numFmtId="0" fontId="0" fillId="0" borderId="32" xfId="0" applyBorder="1" applyAlignment="1">
      <alignment horizontal="left" vertical="top"/>
    </xf>
    <xf numFmtId="0" fontId="0" fillId="0" borderId="33" xfId="0" applyBorder="1" applyAlignment="1">
      <alignment horizontal="left" vertical="top"/>
    </xf>
    <xf numFmtId="0" fontId="0" fillId="4" borderId="13" xfId="0" applyFill="1" applyBorder="1" applyAlignment="1">
      <alignment horizontal="left" vertical="top"/>
    </xf>
    <xf numFmtId="0" fontId="0" fillId="0" borderId="25" xfId="0" applyBorder="1" applyAlignment="1">
      <alignment horizontal="left" vertical="top"/>
    </xf>
    <xf numFmtId="0" fontId="0" fillId="0" borderId="26" xfId="0" applyBorder="1" applyAlignment="1">
      <alignment horizontal="left" vertical="top"/>
    </xf>
    <xf numFmtId="0" fontId="0" fillId="0" borderId="34" xfId="0" applyBorder="1" applyAlignment="1">
      <alignment horizontal="left" vertical="top"/>
    </xf>
    <xf numFmtId="0" fontId="7" fillId="4" borderId="1" xfId="0" applyFont="1" applyFill="1" applyBorder="1" applyAlignment="1">
      <alignment horizontal="left" vertical="top"/>
    </xf>
    <xf numFmtId="0" fontId="7" fillId="0" borderId="1" xfId="0" applyFont="1" applyBorder="1" applyAlignment="1">
      <alignment horizontal="left" vertical="top"/>
    </xf>
    <xf numFmtId="0" fontId="7" fillId="4" borderId="8" xfId="0" applyFont="1" applyFill="1" applyBorder="1" applyAlignment="1">
      <alignment horizontal="left" vertical="top"/>
    </xf>
    <xf numFmtId="0" fontId="7" fillId="0" borderId="8" xfId="0" applyFont="1" applyBorder="1" applyAlignment="1">
      <alignment horizontal="left" vertical="top"/>
    </xf>
    <xf numFmtId="0" fontId="7" fillId="4" borderId="13" xfId="0" applyFont="1" applyFill="1" applyBorder="1" applyAlignment="1">
      <alignment horizontal="left" vertical="top"/>
    </xf>
    <xf numFmtId="0" fontId="7" fillId="0" borderId="13" xfId="0" applyFont="1" applyBorder="1" applyAlignment="1">
      <alignment horizontal="left" vertical="top"/>
    </xf>
    <xf numFmtId="0" fontId="7" fillId="0" borderId="25" xfId="0" applyFont="1" applyBorder="1" applyAlignment="1">
      <alignment horizontal="left" vertical="top"/>
    </xf>
    <xf numFmtId="0" fontId="7" fillId="0" borderId="26" xfId="0" applyFont="1" applyBorder="1" applyAlignment="1">
      <alignment horizontal="left" vertical="top"/>
    </xf>
    <xf numFmtId="0" fontId="7" fillId="0" borderId="34" xfId="0" applyFont="1" applyBorder="1" applyAlignment="1">
      <alignment horizontal="left" vertical="top"/>
    </xf>
    <xf numFmtId="0" fontId="6" fillId="0" borderId="16" xfId="0" applyFont="1" applyBorder="1" applyAlignment="1">
      <alignment horizontal="left" vertical="top"/>
    </xf>
    <xf numFmtId="0" fontId="6" fillId="0" borderId="17" xfId="0" applyFont="1" applyBorder="1" applyAlignment="1">
      <alignment horizontal="left" vertical="top"/>
    </xf>
    <xf numFmtId="0" fontId="6" fillId="0" borderId="3" xfId="0" applyFont="1" applyBorder="1" applyAlignment="1">
      <alignment horizontal="left" vertical="top"/>
    </xf>
    <xf numFmtId="0" fontId="6" fillId="0" borderId="0" xfId="0" applyFont="1" applyBorder="1" applyAlignment="1">
      <alignment horizontal="center"/>
    </xf>
    <xf numFmtId="0" fontId="6" fillId="0" borderId="27" xfId="0" applyFont="1" applyBorder="1" applyAlignment="1">
      <alignment horizontal="left"/>
    </xf>
    <xf numFmtId="0" fontId="6" fillId="0" borderId="28" xfId="0" applyFont="1" applyBorder="1" applyAlignment="1">
      <alignment horizontal="left"/>
    </xf>
    <xf numFmtId="0" fontId="6" fillId="0" borderId="29" xfId="0" applyFont="1" applyBorder="1" applyAlignment="1">
      <alignment horizontal="left"/>
    </xf>
    <xf numFmtId="0" fontId="6" fillId="4" borderId="8" xfId="0" applyFont="1" applyFill="1" applyBorder="1" applyAlignment="1">
      <alignment horizontal="right" vertical="center"/>
    </xf>
    <xf numFmtId="0" fontId="6" fillId="4" borderId="8" xfId="0" applyFont="1" applyFill="1" applyBorder="1" applyAlignment="1">
      <alignment horizontal="left" vertical="center"/>
    </xf>
    <xf numFmtId="0" fontId="6" fillId="0" borderId="16" xfId="0" applyFont="1" applyBorder="1" applyAlignment="1">
      <alignment horizontal="left"/>
    </xf>
    <xf numFmtId="0" fontId="6" fillId="0" borderId="17" xfId="0" applyFont="1" applyBorder="1" applyAlignment="1">
      <alignment horizontal="left"/>
    </xf>
    <xf numFmtId="0" fontId="6" fillId="0" borderId="3" xfId="0" applyFont="1" applyBorder="1" applyAlignment="1">
      <alignment horizontal="left"/>
    </xf>
    <xf numFmtId="0" fontId="6" fillId="4" borderId="1" xfId="0" applyFont="1" applyFill="1" applyBorder="1" applyAlignment="1">
      <alignment horizontal="right" vertical="center"/>
    </xf>
    <xf numFmtId="0" fontId="6" fillId="4" borderId="1" xfId="0" applyFont="1" applyFill="1" applyBorder="1" applyAlignment="1">
      <alignment horizontal="left" vertical="center"/>
    </xf>
    <xf numFmtId="0" fontId="6" fillId="0" borderId="31" xfId="0" applyFont="1" applyBorder="1" applyAlignment="1">
      <alignment horizontal="left"/>
    </xf>
    <xf numFmtId="0" fontId="6" fillId="0" borderId="32" xfId="0" applyFont="1" applyBorder="1" applyAlignment="1">
      <alignment horizontal="left"/>
    </xf>
    <xf numFmtId="0" fontId="6" fillId="0" borderId="33" xfId="0" applyFont="1" applyBorder="1" applyAlignment="1">
      <alignment horizontal="left"/>
    </xf>
    <xf numFmtId="0" fontId="6" fillId="4" borderId="13" xfId="0" applyFont="1" applyFill="1" applyBorder="1" applyAlignment="1">
      <alignment horizontal="right" vertical="center"/>
    </xf>
    <xf numFmtId="0" fontId="6" fillId="4" borderId="13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6" fillId="0" borderId="13" xfId="0" applyFont="1" applyBorder="1" applyAlignment="1">
      <alignment horizontal="left"/>
    </xf>
    <xf numFmtId="0" fontId="6" fillId="0" borderId="25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34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" xfId="0" applyFill="1" applyBorder="1" applyAlignment="1">
      <alignment horizontal="right" vertical="center"/>
    </xf>
    <xf numFmtId="0" fontId="0" fillId="0" borderId="27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29" xfId="0" applyBorder="1" applyAlignment="1">
      <alignment horizontal="left"/>
    </xf>
    <xf numFmtId="0" fontId="0" fillId="0" borderId="8" xfId="0" applyBorder="1" applyAlignment="1">
      <alignment horizontal="right" vertical="center"/>
    </xf>
    <xf numFmtId="0" fontId="0" fillId="0" borderId="8" xfId="0" applyBorder="1" applyAlignment="1">
      <alignment horizontal="left" vertical="center"/>
    </xf>
    <xf numFmtId="0" fontId="0" fillId="0" borderId="16" xfId="0" applyBorder="1" applyAlignment="1">
      <alignment horizontal="left"/>
    </xf>
    <xf numFmtId="0" fontId="0" fillId="0" borderId="17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1" xfId="0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13" xfId="0" applyBorder="1" applyAlignment="1">
      <alignment horizontal="right" vertical="center"/>
    </xf>
    <xf numFmtId="0" fontId="0" fillId="0" borderId="38" xfId="0" applyBorder="1" applyAlignment="1">
      <alignment horizontal="left" vertical="center"/>
    </xf>
    <xf numFmtId="0" fontId="0" fillId="0" borderId="39" xfId="0" applyBorder="1" applyAlignment="1">
      <alignment horizontal="left"/>
    </xf>
    <xf numFmtId="0" fontId="0" fillId="0" borderId="40" xfId="0" applyBorder="1" applyAlignment="1">
      <alignment horizontal="left"/>
    </xf>
    <xf numFmtId="0" fontId="0" fillId="0" borderId="41" xfId="0" applyBorder="1" applyAlignment="1">
      <alignment horizontal="left"/>
    </xf>
    <xf numFmtId="0" fontId="0" fillId="0" borderId="16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24" xfId="0" applyBorder="1" applyAlignment="1">
      <alignment horizontal="left" vertical="center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</cellXfs>
  <cellStyles count="3">
    <cellStyle name="Good" xfId="1" builtinId="26"/>
    <cellStyle name="Neutral" xfId="2" builtinId="28"/>
    <cellStyle name="Normal" xfId="0" builtinId="0"/>
  </cellStyles>
  <dxfs count="24"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theme="6" tint="0.39994506668294322"/>
        </patternFill>
      </fill>
    </dxf>
    <dxf>
      <fill>
        <patternFill>
          <bgColor theme="6" tint="0.59996337778862885"/>
        </patternFill>
      </fill>
    </dxf>
    <dxf>
      <font>
        <condense val="0"/>
        <extend val="0"/>
        <color rgb="FF9C0006"/>
      </font>
      <fill>
        <patternFill>
          <bgColor theme="6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theme="6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theme="6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theme="6" tint="0.39994506668294322"/>
        </patternFill>
      </fill>
    </dxf>
    <dxf>
      <fill>
        <patternFill>
          <bgColor theme="6" tint="0.5999633777886288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885825</xdr:colOff>
          <xdr:row>0</xdr:row>
          <xdr:rowOff>57150</xdr:rowOff>
        </xdr:from>
        <xdr:to>
          <xdr:col>61</xdr:col>
          <xdr:colOff>2600325</xdr:colOff>
          <xdr:row>5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Header File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 Screen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200025</xdr:colOff>
          <xdr:row>0</xdr:row>
          <xdr:rowOff>171450</xdr:rowOff>
        </xdr:from>
        <xdr:to>
          <xdr:col>61</xdr:col>
          <xdr:colOff>1800225</xdr:colOff>
          <xdr:row>5</xdr:row>
          <xdr:rowOff>19050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9525</xdr:colOff>
          <xdr:row>0</xdr:row>
          <xdr:rowOff>190500</xdr:rowOff>
        </xdr:from>
        <xdr:to>
          <xdr:col>61</xdr:col>
          <xdr:colOff>3790950</xdr:colOff>
          <xdr:row>4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H File for all 3 Screens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6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DN39"/>
  <sheetViews>
    <sheetView topLeftCell="AA1" zoomScale="70" zoomScaleNormal="70" workbookViewId="0">
      <selection activeCell="BK48" sqref="BK48"/>
    </sheetView>
  </sheetViews>
  <sheetFormatPr defaultColWidth="8.85546875" defaultRowHeight="15" x14ac:dyDescent="0.25"/>
  <cols>
    <col min="1" max="1" width="3.85546875" style="119" bestFit="1" customWidth="1"/>
    <col min="2" max="2" width="19.7109375" style="119" bestFit="1" customWidth="1"/>
    <col min="3" max="7" width="2.5703125" style="119" bestFit="1" customWidth="1"/>
    <col min="8" max="8" width="3.85546875" style="119" bestFit="1" customWidth="1"/>
    <col min="9" max="9" width="2.5703125" style="119" bestFit="1" customWidth="1"/>
    <col min="10" max="14" width="3.85546875" style="119" bestFit="1" customWidth="1"/>
    <col min="15" max="15" width="7.85546875" style="119" bestFit="1" customWidth="1"/>
    <col min="16" max="19" width="3.85546875" style="119" bestFit="1" customWidth="1"/>
    <col min="20" max="20" width="20.140625" style="119" bestFit="1" customWidth="1"/>
    <col min="21" max="32" width="3.85546875" style="119" bestFit="1" customWidth="1"/>
    <col min="33" max="33" width="7.85546875" style="119" bestFit="1" customWidth="1"/>
    <col min="34" max="37" width="3.85546875" style="119" bestFit="1" customWidth="1"/>
    <col min="38" max="38" width="20.140625" style="119" bestFit="1" customWidth="1"/>
    <col min="39" max="50" width="3.85546875" style="119" bestFit="1" customWidth="1"/>
    <col min="51" max="51" width="7.85546875" style="119" bestFit="1" customWidth="1"/>
    <col min="52" max="58" width="3.85546875" style="119" bestFit="1" customWidth="1"/>
    <col min="59" max="61" width="3.28515625" style="119" bestFit="1" customWidth="1"/>
    <col min="62" max="62" width="58.85546875" style="119" bestFit="1" customWidth="1"/>
    <col min="63" max="64" width="60" style="119" bestFit="1" customWidth="1"/>
    <col min="65" max="75" width="3.28515625" style="119" bestFit="1" customWidth="1"/>
    <col min="76" max="87" width="3" style="119" customWidth="1"/>
    <col min="88" max="88" width="5" style="119" bestFit="1" customWidth="1"/>
    <col min="89" max="89" width="12.28515625" style="119" bestFit="1" customWidth="1"/>
    <col min="90" max="90" width="6.28515625" style="119" bestFit="1" customWidth="1"/>
    <col min="91" max="101" width="3" style="119" customWidth="1"/>
    <col min="102" max="117" width="8.85546875" style="119"/>
    <col min="118" max="118" width="2.28515625" style="119" bestFit="1" customWidth="1"/>
    <col min="119" max="16384" width="8.85546875" style="119"/>
  </cols>
  <sheetData>
    <row r="1" spans="1:104" x14ac:dyDescent="0.25">
      <c r="CJ1" s="119" t="s">
        <v>19</v>
      </c>
      <c r="CK1" s="119" t="s">
        <v>27</v>
      </c>
      <c r="CL1" s="119" t="s">
        <v>21</v>
      </c>
    </row>
    <row r="2" spans="1:104" x14ac:dyDescent="0.25">
      <c r="CJ2" s="119" t="s">
        <v>19</v>
      </c>
      <c r="CK2" s="119" t="s">
        <v>28</v>
      </c>
      <c r="CL2" s="119" t="s">
        <v>23</v>
      </c>
    </row>
    <row r="5" spans="1:104" x14ac:dyDescent="0.25">
      <c r="A5" s="132">
        <v>1</v>
      </c>
      <c r="B5" s="132">
        <v>2</v>
      </c>
      <c r="C5" s="132">
        <v>3</v>
      </c>
      <c r="D5" s="132">
        <v>4</v>
      </c>
      <c r="E5" s="132">
        <v>5</v>
      </c>
      <c r="F5" s="132">
        <v>6</v>
      </c>
      <c r="G5" s="132">
        <v>7</v>
      </c>
      <c r="H5" s="132">
        <v>8</v>
      </c>
      <c r="I5" s="132">
        <v>9</v>
      </c>
      <c r="J5" s="132">
        <v>10</v>
      </c>
      <c r="K5" s="132">
        <v>11</v>
      </c>
      <c r="L5" s="132">
        <v>12</v>
      </c>
      <c r="M5" s="132">
        <v>13</v>
      </c>
      <c r="N5" s="132">
        <v>14</v>
      </c>
      <c r="O5" s="132">
        <v>15</v>
      </c>
      <c r="P5" s="132">
        <v>16</v>
      </c>
      <c r="Q5" s="132">
        <v>17</v>
      </c>
      <c r="R5" s="132">
        <v>18</v>
      </c>
      <c r="S5" s="132">
        <v>19</v>
      </c>
      <c r="T5" s="132">
        <v>20</v>
      </c>
      <c r="U5" s="132">
        <v>21</v>
      </c>
      <c r="V5" s="132">
        <v>22</v>
      </c>
      <c r="W5" s="132">
        <v>23</v>
      </c>
      <c r="X5" s="132">
        <v>24</v>
      </c>
      <c r="Y5" s="132">
        <v>25</v>
      </c>
      <c r="Z5" s="132">
        <v>26</v>
      </c>
      <c r="AA5" s="132">
        <v>27</v>
      </c>
      <c r="AB5" s="132">
        <v>28</v>
      </c>
      <c r="AC5" s="132">
        <v>29</v>
      </c>
      <c r="AD5" s="132">
        <v>30</v>
      </c>
      <c r="AE5" s="132">
        <v>31</v>
      </c>
      <c r="AF5" s="132">
        <v>32</v>
      </c>
      <c r="AG5" s="132">
        <v>33</v>
      </c>
      <c r="AH5" s="132">
        <v>34</v>
      </c>
      <c r="AI5" s="132">
        <v>35</v>
      </c>
      <c r="AJ5" s="132">
        <v>36</v>
      </c>
      <c r="AK5" s="132">
        <v>37</v>
      </c>
      <c r="AL5" s="132">
        <v>38</v>
      </c>
      <c r="AM5" s="132">
        <v>39</v>
      </c>
      <c r="AN5" s="132">
        <v>40</v>
      </c>
      <c r="AO5" s="132">
        <v>41</v>
      </c>
      <c r="AP5" s="132">
        <v>42</v>
      </c>
      <c r="AQ5" s="132">
        <v>43</v>
      </c>
      <c r="AR5" s="132">
        <v>44</v>
      </c>
      <c r="AS5" s="132">
        <v>45</v>
      </c>
      <c r="AT5" s="132">
        <v>46</v>
      </c>
      <c r="AU5" s="132">
        <v>47</v>
      </c>
      <c r="AV5" s="132">
        <v>48</v>
      </c>
      <c r="AW5" s="132">
        <v>49</v>
      </c>
      <c r="AX5" s="132">
        <v>50</v>
      </c>
      <c r="AY5" s="132">
        <v>51</v>
      </c>
      <c r="AZ5" s="132">
        <v>52</v>
      </c>
      <c r="BA5" s="132">
        <v>53</v>
      </c>
      <c r="BB5" s="132">
        <v>54</v>
      </c>
      <c r="BC5" s="132">
        <v>55</v>
      </c>
      <c r="BD5" s="132">
        <v>56</v>
      </c>
      <c r="BE5" s="132">
        <v>57</v>
      </c>
      <c r="BF5" s="132">
        <v>58</v>
      </c>
      <c r="BG5" s="132">
        <v>59</v>
      </c>
      <c r="BH5" s="132">
        <v>60</v>
      </c>
      <c r="BI5" s="132">
        <v>61</v>
      </c>
      <c r="BJ5" s="132">
        <v>62</v>
      </c>
      <c r="BK5" s="132">
        <v>63</v>
      </c>
      <c r="BL5" s="132">
        <v>64</v>
      </c>
    </row>
    <row r="6" spans="1:104" x14ac:dyDescent="0.25">
      <c r="U6" s="122"/>
      <c r="V6" s="122"/>
      <c r="W6" s="122"/>
      <c r="X6" s="122"/>
      <c r="Y6" s="122"/>
      <c r="Z6" s="122"/>
    </row>
    <row r="7" spans="1:104" ht="15.75" thickBot="1" x14ac:dyDescent="0.3">
      <c r="B7" s="119" t="s">
        <v>39</v>
      </c>
      <c r="C7" s="119">
        <v>1</v>
      </c>
      <c r="H7" s="119">
        <v>16</v>
      </c>
      <c r="J7" s="119">
        <v>19</v>
      </c>
      <c r="M7" s="119">
        <v>24</v>
      </c>
      <c r="O7" s="119" t="s">
        <v>7</v>
      </c>
      <c r="R7" s="119">
        <v>25</v>
      </c>
      <c r="T7" s="119" t="s">
        <v>39</v>
      </c>
      <c r="U7" s="119">
        <v>28</v>
      </c>
      <c r="Z7" s="119">
        <v>43</v>
      </c>
      <c r="AB7" s="119">
        <v>46</v>
      </c>
      <c r="AE7" s="119">
        <v>51</v>
      </c>
      <c r="AG7" s="119" t="s">
        <v>7</v>
      </c>
      <c r="AJ7" s="119">
        <v>52</v>
      </c>
      <c r="AL7" s="119" t="s">
        <v>39</v>
      </c>
      <c r="AM7" s="119">
        <v>55</v>
      </c>
      <c r="AR7" s="119">
        <v>70</v>
      </c>
      <c r="AT7" s="119">
        <v>73</v>
      </c>
      <c r="AW7" s="119">
        <v>78</v>
      </c>
      <c r="AY7" s="119" t="s">
        <v>7</v>
      </c>
      <c r="BB7" s="119">
        <v>79</v>
      </c>
      <c r="BJ7" s="119" t="s">
        <v>180</v>
      </c>
    </row>
    <row r="8" spans="1:104" ht="14.45" customHeight="1" x14ac:dyDescent="0.25">
      <c r="A8" s="119">
        <v>1</v>
      </c>
      <c r="B8" s="124" t="str">
        <f>SUBSTITUTE(PROPER(C8)," ","")</f>
        <v>Scr1Col1Row1</v>
      </c>
      <c r="C8" s="161" t="s">
        <v>285</v>
      </c>
      <c r="D8" s="161"/>
      <c r="E8" s="161"/>
      <c r="F8" s="161"/>
      <c r="G8" s="161"/>
      <c r="H8" s="161"/>
      <c r="I8" s="120"/>
      <c r="J8" s="162">
        <v>0</v>
      </c>
      <c r="K8" s="163"/>
      <c r="L8" s="163"/>
      <c r="M8" s="164"/>
      <c r="N8" s="120"/>
      <c r="O8" s="125">
        <v>1</v>
      </c>
      <c r="P8" s="120"/>
      <c r="Q8" s="120"/>
      <c r="R8" s="125" t="s">
        <v>14</v>
      </c>
      <c r="S8" s="120"/>
      <c r="T8" s="125" t="str">
        <f t="shared" ref="T8:T17" si="0">SUBSTITUTE(PROPER(U8)," ","")</f>
        <v>Scr1Col2Row1</v>
      </c>
      <c r="U8" s="161" t="s">
        <v>309</v>
      </c>
      <c r="V8" s="161"/>
      <c r="W8" s="161"/>
      <c r="X8" s="161"/>
      <c r="Y8" s="161"/>
      <c r="Z8" s="161"/>
      <c r="AA8" s="120"/>
      <c r="AB8" s="162">
        <v>0</v>
      </c>
      <c r="AC8" s="163"/>
      <c r="AD8" s="163"/>
      <c r="AE8" s="164"/>
      <c r="AF8" s="120"/>
      <c r="AG8" s="125">
        <v>0</v>
      </c>
      <c r="AH8" s="120"/>
      <c r="AI8" s="120"/>
      <c r="AJ8" s="125" t="s">
        <v>14</v>
      </c>
      <c r="AK8" s="120"/>
      <c r="AL8" s="125" t="str">
        <f>SUBSTITUTE(PROPER(AM8)," ","")</f>
        <v>Scr1Col3Row1</v>
      </c>
      <c r="AM8" s="161" t="s">
        <v>333</v>
      </c>
      <c r="AN8" s="161"/>
      <c r="AO8" s="161"/>
      <c r="AP8" s="161"/>
      <c r="AQ8" s="161"/>
      <c r="AR8" s="161"/>
      <c r="AS8" s="120"/>
      <c r="AT8" s="162">
        <v>0</v>
      </c>
      <c r="AU8" s="163"/>
      <c r="AV8" s="163"/>
      <c r="AW8" s="164"/>
      <c r="AX8" s="120"/>
      <c r="AY8" s="125">
        <v>1</v>
      </c>
      <c r="AZ8" s="120"/>
      <c r="BA8" s="120"/>
      <c r="BB8" s="125" t="s">
        <v>14</v>
      </c>
      <c r="BC8" s="120"/>
      <c r="BD8" s="121">
        <f>LEN(C8)</f>
        <v>15</v>
      </c>
      <c r="BE8" s="121">
        <f>LEN(U8)</f>
        <v>15</v>
      </c>
      <c r="BF8" s="121">
        <f>LEN(AM8)</f>
        <v>15</v>
      </c>
      <c r="BJ8" s="133" t="str">
        <f>("{"&amp;B8&amp;", "&amp;""""&amp;C8&amp;""""&amp;", "&amp;A8&amp;", "&amp;$C$7&amp;", "&amp;0&amp;", "&amp;O8&amp;", "&amp;A8&amp;", "&amp;$J$7&amp;","&amp;""""&amp;R8&amp;""""&amp;"},")</f>
        <v>{Scr1Col1Row1, "Scr1 Col1 Row 1", 1, 1, 0, 1, 1, 19,"V"},</v>
      </c>
      <c r="BK8" s="122" t="str">
        <f t="shared" ref="BK8:BK31" si="1">("{"&amp;T8&amp;", "&amp;""""&amp;U8&amp;""""&amp;", "&amp;A8&amp;", "&amp;$U$7&amp;", "&amp;0&amp;", "&amp;AG8&amp;", "&amp;A8&amp;", "&amp;$AB$7&amp;","&amp;""""&amp;AJ8&amp;""""&amp;"},")</f>
        <v>{Scr1Col2Row1, "Scr1 Col2 Row 1", 1, 28, 0, 0, 1, 46,"V"},</v>
      </c>
      <c r="BL8" s="122" t="str">
        <f t="shared" ref="BL8:BL31" si="2">("{"&amp;AL8&amp;", "&amp;""""&amp;AM8&amp;""""&amp;", "&amp;A8&amp;", "&amp;$AM$7&amp;", "&amp;0&amp;", "&amp;AY8&amp;", "&amp;A8&amp;", "&amp;$AT$7&amp;","&amp;""""&amp;BB8&amp;""""&amp;"},")</f>
        <v>{Scr1Col3Row1, "Scr1 Col3 Row 1", 1, 55, 0, 1, 1, 73,"V"},</v>
      </c>
      <c r="BM8" s="122"/>
      <c r="BN8" s="122"/>
      <c r="BO8" s="122"/>
      <c r="BP8" s="122"/>
      <c r="BQ8" s="122"/>
      <c r="BR8" s="122"/>
      <c r="BS8" s="122"/>
      <c r="BT8" s="122"/>
      <c r="BU8" s="122"/>
      <c r="BV8" s="122"/>
      <c r="BW8" s="122"/>
      <c r="BX8" s="122"/>
      <c r="BY8" s="122"/>
      <c r="BZ8" s="122"/>
      <c r="CA8" s="122"/>
      <c r="CB8" s="122"/>
      <c r="CC8" s="122"/>
      <c r="CD8" s="122"/>
      <c r="CE8" s="122"/>
      <c r="CF8" s="122"/>
      <c r="CG8" s="122"/>
      <c r="CH8" s="122"/>
      <c r="CI8" s="122"/>
      <c r="CJ8" s="122"/>
      <c r="CK8" s="122"/>
      <c r="CL8" s="122"/>
      <c r="CM8" s="122"/>
      <c r="CN8" s="122"/>
      <c r="CO8" s="122"/>
      <c r="CP8" s="122"/>
      <c r="CQ8" s="122"/>
      <c r="CR8" s="122"/>
      <c r="CS8" s="122"/>
      <c r="CT8" s="122"/>
      <c r="CU8" s="122"/>
      <c r="CV8" s="122"/>
      <c r="CW8" s="122"/>
      <c r="CX8" s="122"/>
      <c r="CY8" s="122"/>
      <c r="CZ8" s="122"/>
    </row>
    <row r="9" spans="1:104" x14ac:dyDescent="0.25">
      <c r="A9" s="119">
        <v>2</v>
      </c>
      <c r="B9" s="126" t="str">
        <f t="shared" ref="B9:B30" si="3">SUBSTITUTE(PROPER(C9)," ","")</f>
        <v>Scr1Col1Row2</v>
      </c>
      <c r="C9" s="165" t="s">
        <v>286</v>
      </c>
      <c r="D9" s="165"/>
      <c r="E9" s="165"/>
      <c r="F9" s="165"/>
      <c r="G9" s="165"/>
      <c r="H9" s="165"/>
      <c r="I9" s="122"/>
      <c r="J9" s="158">
        <v>0</v>
      </c>
      <c r="K9" s="159"/>
      <c r="L9" s="159"/>
      <c r="M9" s="160"/>
      <c r="N9" s="122"/>
      <c r="O9" s="121">
        <v>1</v>
      </c>
      <c r="P9" s="122"/>
      <c r="Q9" s="122"/>
      <c r="R9" s="121" t="s">
        <v>14</v>
      </c>
      <c r="S9" s="122"/>
      <c r="T9" s="121" t="str">
        <f t="shared" si="0"/>
        <v>Scr1Col2Row2</v>
      </c>
      <c r="U9" s="165" t="s">
        <v>310</v>
      </c>
      <c r="V9" s="165"/>
      <c r="W9" s="165"/>
      <c r="X9" s="165"/>
      <c r="Y9" s="165"/>
      <c r="Z9" s="165"/>
      <c r="AA9" s="122"/>
      <c r="AB9" s="158">
        <v>0</v>
      </c>
      <c r="AC9" s="159"/>
      <c r="AD9" s="159"/>
      <c r="AE9" s="160"/>
      <c r="AF9" s="122"/>
      <c r="AG9" s="121">
        <v>0</v>
      </c>
      <c r="AH9" s="122"/>
      <c r="AI9" s="122"/>
      <c r="AJ9" s="121" t="s">
        <v>14</v>
      </c>
      <c r="AK9" s="122"/>
      <c r="AL9" s="121" t="str">
        <f t="shared" ref="AL9:AL31" si="4">SUBSTITUTE(PROPER(AM9)," ","")</f>
        <v>Scr1Col3Row2</v>
      </c>
      <c r="AM9" s="165" t="s">
        <v>334</v>
      </c>
      <c r="AN9" s="165"/>
      <c r="AO9" s="165"/>
      <c r="AP9" s="165"/>
      <c r="AQ9" s="165"/>
      <c r="AR9" s="165"/>
      <c r="AS9" s="122"/>
      <c r="AT9" s="158">
        <v>0</v>
      </c>
      <c r="AU9" s="159"/>
      <c r="AV9" s="159"/>
      <c r="AW9" s="160"/>
      <c r="AX9" s="122"/>
      <c r="AY9" s="121">
        <v>0</v>
      </c>
      <c r="AZ9" s="122"/>
      <c r="BA9" s="122"/>
      <c r="BB9" s="121" t="s">
        <v>0</v>
      </c>
      <c r="BC9" s="122"/>
      <c r="BD9" s="121">
        <f t="shared" ref="BD9:BD31" si="5">LEN(C9)</f>
        <v>15</v>
      </c>
      <c r="BE9" s="121">
        <f t="shared" ref="BE9:BE31" si="6">LEN(U9)</f>
        <v>15</v>
      </c>
      <c r="BF9" s="121">
        <f t="shared" ref="BF9:BF31" si="7">LEN(AM9)</f>
        <v>15</v>
      </c>
      <c r="BJ9" s="122" t="str">
        <f>("{"&amp;B9&amp;", "&amp;""""&amp;C9&amp;""""&amp;", "&amp;A9&amp;", "&amp;$C$7&amp;", "&amp;0&amp;", "&amp;O9&amp;", "&amp;A9&amp;", "&amp;$J$7&amp;","&amp;""""&amp;R9&amp;""""&amp;"},")</f>
        <v>{Scr1Col1Row2, "Scr1 Col1 Row 2", 2, 1, 0, 1, 2, 19,"V"},</v>
      </c>
      <c r="BK9" s="122" t="str">
        <f t="shared" si="1"/>
        <v>{Scr1Col2Row2, "Scr1 Col2 Row 2", 2, 28, 0, 0, 2, 46,"V"},</v>
      </c>
      <c r="BL9" s="122" t="str">
        <f t="shared" si="2"/>
        <v>{Scr1Col3Row2, "Scr1 Col3 Row 2", 2, 55, 0, 0, 2, 73,"A"},</v>
      </c>
      <c r="BM9" s="122"/>
      <c r="BN9" s="122"/>
      <c r="BO9" s="122"/>
      <c r="BP9" s="122"/>
      <c r="BQ9" s="122"/>
      <c r="BR9" s="122"/>
      <c r="BS9" s="122"/>
      <c r="BT9" s="122"/>
      <c r="BU9" s="122"/>
      <c r="BV9" s="122"/>
      <c r="BW9" s="122"/>
      <c r="BX9" s="122"/>
      <c r="BY9" s="122"/>
      <c r="BZ9" s="122"/>
      <c r="CA9" s="122"/>
      <c r="CB9" s="122"/>
      <c r="CC9" s="122"/>
      <c r="CD9" s="122"/>
      <c r="CE9" s="122"/>
      <c r="CF9" s="122"/>
      <c r="CG9" s="122"/>
      <c r="CH9" s="122"/>
      <c r="CI9" s="122"/>
      <c r="CJ9" s="122"/>
      <c r="CK9" s="122"/>
      <c r="CL9" s="122"/>
      <c r="CM9" s="122"/>
      <c r="CN9" s="122"/>
      <c r="CO9" s="122"/>
      <c r="CP9" s="122"/>
      <c r="CQ9" s="122"/>
      <c r="CR9" s="122"/>
      <c r="CS9" s="122"/>
      <c r="CT9" s="122"/>
      <c r="CU9" s="122"/>
      <c r="CV9" s="122"/>
      <c r="CW9" s="122"/>
      <c r="CX9" s="122"/>
      <c r="CY9" s="122"/>
      <c r="CZ9" s="122"/>
    </row>
    <row r="10" spans="1:104" x14ac:dyDescent="0.25">
      <c r="A10" s="119">
        <v>3</v>
      </c>
      <c r="B10" s="126" t="str">
        <f t="shared" si="3"/>
        <v>Scr1Col1Row3</v>
      </c>
      <c r="C10" s="165" t="s">
        <v>287</v>
      </c>
      <c r="D10" s="165"/>
      <c r="E10" s="165"/>
      <c r="F10" s="165"/>
      <c r="G10" s="165"/>
      <c r="H10" s="165"/>
      <c r="I10" s="122"/>
      <c r="J10" s="158">
        <v>0</v>
      </c>
      <c r="K10" s="159"/>
      <c r="L10" s="159"/>
      <c r="M10" s="160"/>
      <c r="N10" s="122"/>
      <c r="O10" s="121">
        <v>1</v>
      </c>
      <c r="P10" s="122"/>
      <c r="Q10" s="122"/>
      <c r="R10" s="121" t="s">
        <v>14</v>
      </c>
      <c r="S10" s="122"/>
      <c r="T10" s="121" t="str">
        <f t="shared" si="0"/>
        <v>Scr1Col2Row3</v>
      </c>
      <c r="U10" s="165" t="s">
        <v>311</v>
      </c>
      <c r="V10" s="165"/>
      <c r="W10" s="165"/>
      <c r="X10" s="165"/>
      <c r="Y10" s="165"/>
      <c r="Z10" s="165"/>
      <c r="AA10" s="122"/>
      <c r="AB10" s="158">
        <v>0</v>
      </c>
      <c r="AC10" s="159"/>
      <c r="AD10" s="159"/>
      <c r="AE10" s="160"/>
      <c r="AF10" s="122"/>
      <c r="AG10" s="121">
        <v>0</v>
      </c>
      <c r="AH10" s="122"/>
      <c r="AI10" s="122"/>
      <c r="AJ10" s="121" t="s">
        <v>14</v>
      </c>
      <c r="AK10" s="122"/>
      <c r="AL10" s="121" t="str">
        <f t="shared" si="4"/>
        <v>Scr1Col3Row3</v>
      </c>
      <c r="AM10" s="165" t="s">
        <v>335</v>
      </c>
      <c r="AN10" s="165"/>
      <c r="AO10" s="165"/>
      <c r="AP10" s="165"/>
      <c r="AQ10" s="165"/>
      <c r="AR10" s="165"/>
      <c r="AS10" s="122"/>
      <c r="AT10" s="158">
        <v>0</v>
      </c>
      <c r="AU10" s="159"/>
      <c r="AV10" s="159"/>
      <c r="AW10" s="160"/>
      <c r="AX10" s="122"/>
      <c r="AY10" s="121">
        <v>0</v>
      </c>
      <c r="AZ10" s="122"/>
      <c r="BA10" s="122"/>
      <c r="BB10" s="121" t="s">
        <v>14</v>
      </c>
      <c r="BC10" s="122"/>
      <c r="BD10" s="121">
        <f t="shared" si="5"/>
        <v>15</v>
      </c>
      <c r="BE10" s="121">
        <f t="shared" si="6"/>
        <v>15</v>
      </c>
      <c r="BF10" s="121">
        <f t="shared" si="7"/>
        <v>15</v>
      </c>
      <c r="BJ10" s="122" t="str">
        <f t="shared" ref="BJ10:BJ31" si="8">("{"&amp;B10&amp;", "&amp;""""&amp;C10&amp;""""&amp;", "&amp;A10&amp;", "&amp;$C$7&amp;", "&amp;0&amp;", "&amp;O10&amp;", "&amp;A10&amp;", "&amp;$J$7&amp;","&amp;""""&amp;R10&amp;""""&amp;"},")</f>
        <v>{Scr1Col1Row3, "Scr1 Col1 Row 3", 3, 1, 0, 1, 3, 19,"V"},</v>
      </c>
      <c r="BK10" s="122" t="str">
        <f t="shared" si="1"/>
        <v>{Scr1Col2Row3, "Scr1 Col2 Row 3", 3, 28, 0, 0, 3, 46,"V"},</v>
      </c>
      <c r="BL10" s="122" t="str">
        <f t="shared" si="2"/>
        <v>{Scr1Col3Row3, "Scr1 Col3 Row 3", 3, 55, 0, 0, 3, 73,"V"},</v>
      </c>
      <c r="BM10" s="122"/>
      <c r="BN10" s="122"/>
      <c r="BO10" s="122"/>
      <c r="BP10" s="122"/>
      <c r="BQ10" s="122"/>
      <c r="BR10" s="122"/>
      <c r="BS10" s="122"/>
      <c r="BT10" s="122"/>
      <c r="BU10" s="122"/>
      <c r="BV10" s="122"/>
      <c r="BW10" s="122"/>
      <c r="BX10" s="122"/>
      <c r="BY10" s="122"/>
      <c r="BZ10" s="122"/>
      <c r="CA10" s="122"/>
      <c r="CB10" s="122"/>
      <c r="CC10" s="122"/>
      <c r="CD10" s="122"/>
      <c r="CE10" s="122"/>
      <c r="CF10" s="122"/>
      <c r="CG10" s="122"/>
      <c r="CH10" s="122"/>
      <c r="CI10" s="122"/>
      <c r="CJ10" s="122"/>
      <c r="CK10" s="122"/>
      <c r="CL10" s="122"/>
      <c r="CM10" s="122"/>
      <c r="CN10" s="122"/>
      <c r="CO10" s="122"/>
      <c r="CP10" s="122"/>
      <c r="CQ10" s="122"/>
      <c r="CR10" s="122"/>
      <c r="CS10" s="122"/>
      <c r="CT10" s="122"/>
      <c r="CU10" s="122"/>
      <c r="CV10" s="122"/>
      <c r="CW10" s="122"/>
      <c r="CX10" s="122"/>
      <c r="CY10" s="122"/>
      <c r="CZ10" s="122"/>
    </row>
    <row r="11" spans="1:104" x14ac:dyDescent="0.25">
      <c r="A11" s="119">
        <v>4</v>
      </c>
      <c r="B11" s="126" t="str">
        <f t="shared" si="3"/>
        <v>Scr1Col1Row4</v>
      </c>
      <c r="C11" s="165" t="s">
        <v>288</v>
      </c>
      <c r="D11" s="165"/>
      <c r="E11" s="165"/>
      <c r="F11" s="165"/>
      <c r="G11" s="165"/>
      <c r="H11" s="165"/>
      <c r="I11" s="122"/>
      <c r="J11" s="158">
        <v>0</v>
      </c>
      <c r="K11" s="159"/>
      <c r="L11" s="159"/>
      <c r="M11" s="160"/>
      <c r="N11" s="122"/>
      <c r="O11" s="121">
        <v>1</v>
      </c>
      <c r="P11" s="122"/>
      <c r="Q11" s="122"/>
      <c r="R11" s="121" t="s">
        <v>14</v>
      </c>
      <c r="S11" s="122"/>
      <c r="T11" s="121" t="str">
        <f t="shared" si="0"/>
        <v>Scr1Col2Row4</v>
      </c>
      <c r="U11" s="165" t="s">
        <v>312</v>
      </c>
      <c r="V11" s="165"/>
      <c r="W11" s="165"/>
      <c r="X11" s="165"/>
      <c r="Y11" s="165"/>
      <c r="Z11" s="165"/>
      <c r="AA11" s="122"/>
      <c r="AB11" s="158">
        <v>0</v>
      </c>
      <c r="AC11" s="159"/>
      <c r="AD11" s="159"/>
      <c r="AE11" s="160"/>
      <c r="AF11" s="122"/>
      <c r="AG11" s="121">
        <v>0</v>
      </c>
      <c r="AH11" s="122"/>
      <c r="AI11" s="122"/>
      <c r="AJ11" s="121" t="s">
        <v>0</v>
      </c>
      <c r="AK11" s="122"/>
      <c r="AL11" s="121" t="str">
        <f t="shared" si="4"/>
        <v>Scr1Col3Row4</v>
      </c>
      <c r="AM11" s="165" t="s">
        <v>336</v>
      </c>
      <c r="AN11" s="165"/>
      <c r="AO11" s="165"/>
      <c r="AP11" s="165"/>
      <c r="AQ11" s="165"/>
      <c r="AR11" s="165"/>
      <c r="AS11" s="122"/>
      <c r="AT11" s="158">
        <v>0</v>
      </c>
      <c r="AU11" s="159"/>
      <c r="AV11" s="159"/>
      <c r="AW11" s="160"/>
      <c r="AX11" s="122"/>
      <c r="AY11" s="121">
        <v>0</v>
      </c>
      <c r="AZ11" s="122"/>
      <c r="BA11" s="122"/>
      <c r="BB11" s="121" t="s">
        <v>14</v>
      </c>
      <c r="BC11" s="122"/>
      <c r="BD11" s="121">
        <f t="shared" si="5"/>
        <v>15</v>
      </c>
      <c r="BE11" s="121">
        <f t="shared" si="6"/>
        <v>15</v>
      </c>
      <c r="BF11" s="121">
        <f t="shared" si="7"/>
        <v>15</v>
      </c>
      <c r="BJ11" s="122" t="str">
        <f t="shared" si="8"/>
        <v>{Scr1Col1Row4, "Scr1 Col1 Row 4", 4, 1, 0, 1, 4, 19,"V"},</v>
      </c>
      <c r="BK11" s="122" t="str">
        <f t="shared" si="1"/>
        <v>{Scr1Col2Row4, "Scr1 Col2 Row 4", 4, 28, 0, 0, 4, 46,"A"},</v>
      </c>
      <c r="BL11" s="122" t="str">
        <f t="shared" si="2"/>
        <v>{Scr1Col3Row4, "Scr1 Col3 Row 4", 4, 55, 0, 0, 4, 73,"V"},</v>
      </c>
      <c r="BM11" s="122"/>
      <c r="BN11" s="122"/>
      <c r="BO11" s="122"/>
      <c r="BP11" s="122"/>
      <c r="BQ11" s="122"/>
      <c r="BR11" s="122"/>
      <c r="BS11" s="122"/>
      <c r="BT11" s="122"/>
      <c r="BU11" s="122"/>
      <c r="BV11" s="122"/>
      <c r="BW11" s="122"/>
      <c r="BX11" s="122"/>
      <c r="BY11" s="122"/>
      <c r="BZ11" s="122"/>
      <c r="CA11" s="122"/>
      <c r="CB11" s="122"/>
      <c r="CC11" s="122"/>
      <c r="CD11" s="122"/>
      <c r="CE11" s="122"/>
      <c r="CF11" s="122"/>
      <c r="CG11" s="122"/>
      <c r="CH11" s="122"/>
      <c r="CI11" s="122"/>
      <c r="CJ11" s="122"/>
      <c r="CK11" s="122"/>
      <c r="CL11" s="122"/>
      <c r="CM11" s="122"/>
      <c r="CN11" s="122"/>
      <c r="CO11" s="122"/>
      <c r="CP11" s="122"/>
      <c r="CQ11" s="122"/>
      <c r="CR11" s="122"/>
      <c r="CS11" s="122"/>
      <c r="CT11" s="122"/>
      <c r="CU11" s="122"/>
      <c r="CV11" s="122"/>
      <c r="CW11" s="122"/>
      <c r="CX11" s="122"/>
      <c r="CY11" s="122"/>
      <c r="CZ11" s="122"/>
    </row>
    <row r="12" spans="1:104" x14ac:dyDescent="0.25">
      <c r="A12" s="119">
        <v>5</v>
      </c>
      <c r="B12" s="126" t="str">
        <f t="shared" si="3"/>
        <v>Scr1Col1Row5</v>
      </c>
      <c r="C12" s="165" t="s">
        <v>289</v>
      </c>
      <c r="D12" s="165"/>
      <c r="E12" s="165"/>
      <c r="F12" s="165"/>
      <c r="G12" s="165"/>
      <c r="H12" s="165"/>
      <c r="I12" s="122"/>
      <c r="J12" s="158">
        <v>0</v>
      </c>
      <c r="K12" s="159"/>
      <c r="L12" s="159"/>
      <c r="M12" s="160"/>
      <c r="N12" s="122"/>
      <c r="O12" s="121">
        <v>1</v>
      </c>
      <c r="P12" s="122"/>
      <c r="Q12" s="122"/>
      <c r="R12" s="121" t="s">
        <v>14</v>
      </c>
      <c r="S12" s="122"/>
      <c r="T12" s="121" t="str">
        <f t="shared" si="0"/>
        <v>Scr1Col2Row5</v>
      </c>
      <c r="U12" s="165" t="s">
        <v>313</v>
      </c>
      <c r="V12" s="165"/>
      <c r="W12" s="165"/>
      <c r="X12" s="165"/>
      <c r="Y12" s="165"/>
      <c r="Z12" s="165"/>
      <c r="AA12" s="122"/>
      <c r="AB12" s="158">
        <v>0</v>
      </c>
      <c r="AC12" s="159"/>
      <c r="AD12" s="159"/>
      <c r="AE12" s="160"/>
      <c r="AF12" s="122"/>
      <c r="AG12" s="121">
        <v>0</v>
      </c>
      <c r="AH12" s="122"/>
      <c r="AI12" s="122"/>
      <c r="AJ12" s="121" t="s">
        <v>14</v>
      </c>
      <c r="AK12" s="122"/>
      <c r="AL12" s="121" t="str">
        <f t="shared" si="4"/>
        <v>Scr1Col3Row5</v>
      </c>
      <c r="AM12" s="165" t="s">
        <v>337</v>
      </c>
      <c r="AN12" s="165"/>
      <c r="AO12" s="165"/>
      <c r="AP12" s="165"/>
      <c r="AQ12" s="165"/>
      <c r="AR12" s="165"/>
      <c r="AS12" s="122"/>
      <c r="AT12" s="158">
        <v>0</v>
      </c>
      <c r="AU12" s="159"/>
      <c r="AV12" s="159"/>
      <c r="AW12" s="160"/>
      <c r="AX12" s="122"/>
      <c r="AY12" s="121">
        <v>0</v>
      </c>
      <c r="AZ12" s="122"/>
      <c r="BA12" s="122"/>
      <c r="BB12" s="121" t="s">
        <v>0</v>
      </c>
      <c r="BC12" s="122"/>
      <c r="BD12" s="121">
        <f t="shared" si="5"/>
        <v>15</v>
      </c>
      <c r="BE12" s="121">
        <f t="shared" si="6"/>
        <v>15</v>
      </c>
      <c r="BF12" s="121">
        <f t="shared" si="7"/>
        <v>15</v>
      </c>
      <c r="BJ12" s="122" t="str">
        <f t="shared" si="8"/>
        <v>{Scr1Col1Row5, "Scr1 Col1 Row 5", 5, 1, 0, 1, 5, 19,"V"},</v>
      </c>
      <c r="BK12" s="122" t="str">
        <f t="shared" si="1"/>
        <v>{Scr1Col2Row5, "Scr1 Col2 Row 5", 5, 28, 0, 0, 5, 46,"V"},</v>
      </c>
      <c r="BL12" s="122" t="str">
        <f t="shared" si="2"/>
        <v>{Scr1Col3Row5, "Scr1 Col3 Row 5", 5, 55, 0, 0, 5, 73,"A"},</v>
      </c>
      <c r="BM12" s="122"/>
      <c r="BN12" s="122"/>
      <c r="BO12" s="122"/>
      <c r="BP12" s="122"/>
      <c r="BQ12" s="122"/>
      <c r="BR12" s="122"/>
      <c r="BS12" s="122"/>
      <c r="BT12" s="122"/>
      <c r="BU12" s="122"/>
      <c r="BV12" s="122"/>
      <c r="BW12" s="122"/>
      <c r="BX12" s="122"/>
      <c r="BY12" s="122"/>
      <c r="BZ12" s="122"/>
      <c r="CA12" s="122"/>
      <c r="CB12" s="122"/>
      <c r="CC12" s="122"/>
      <c r="CD12" s="122"/>
      <c r="CE12" s="122"/>
      <c r="CF12" s="122"/>
      <c r="CG12" s="122"/>
      <c r="CH12" s="122"/>
      <c r="CI12" s="122"/>
      <c r="CJ12" s="122"/>
      <c r="CK12" s="122"/>
      <c r="CL12" s="122"/>
      <c r="CM12" s="122"/>
      <c r="CN12" s="122"/>
      <c r="CO12" s="122"/>
      <c r="CP12" s="122"/>
      <c r="CQ12" s="122"/>
      <c r="CR12" s="122"/>
      <c r="CS12" s="122"/>
      <c r="CT12" s="122"/>
      <c r="CU12" s="122"/>
      <c r="CV12" s="122"/>
      <c r="CW12" s="122"/>
      <c r="CX12" s="122"/>
      <c r="CY12" s="122"/>
      <c r="CZ12" s="122"/>
    </row>
    <row r="13" spans="1:104" x14ac:dyDescent="0.25">
      <c r="A13" s="119">
        <v>6</v>
      </c>
      <c r="B13" s="126" t="str">
        <f t="shared" si="3"/>
        <v>Scr1Col1Row6</v>
      </c>
      <c r="C13" s="165" t="s">
        <v>290</v>
      </c>
      <c r="D13" s="165"/>
      <c r="E13" s="165"/>
      <c r="F13" s="165"/>
      <c r="G13" s="165"/>
      <c r="H13" s="165"/>
      <c r="I13" s="122"/>
      <c r="J13" s="158">
        <v>0</v>
      </c>
      <c r="K13" s="159"/>
      <c r="L13" s="159"/>
      <c r="M13" s="160"/>
      <c r="N13" s="122"/>
      <c r="O13" s="121">
        <v>1</v>
      </c>
      <c r="P13" s="122"/>
      <c r="Q13" s="122"/>
      <c r="R13" s="121" t="s">
        <v>14</v>
      </c>
      <c r="S13" s="122"/>
      <c r="T13" s="121" t="str">
        <f t="shared" si="0"/>
        <v>Scr1Col2Row6</v>
      </c>
      <c r="U13" s="165" t="s">
        <v>314</v>
      </c>
      <c r="V13" s="165"/>
      <c r="W13" s="165"/>
      <c r="X13" s="165"/>
      <c r="Y13" s="165"/>
      <c r="Z13" s="165"/>
      <c r="AA13" s="122"/>
      <c r="AB13" s="158">
        <v>0</v>
      </c>
      <c r="AC13" s="159"/>
      <c r="AD13" s="159"/>
      <c r="AE13" s="160"/>
      <c r="AF13" s="122"/>
      <c r="AG13" s="121">
        <v>0</v>
      </c>
      <c r="AH13" s="122"/>
      <c r="AI13" s="122"/>
      <c r="AJ13" s="121" t="s">
        <v>14</v>
      </c>
      <c r="AK13" s="122"/>
      <c r="AL13" s="121" t="str">
        <f t="shared" si="4"/>
        <v>Scr1Col3Row6</v>
      </c>
      <c r="AM13" s="165" t="s">
        <v>338</v>
      </c>
      <c r="AN13" s="165"/>
      <c r="AO13" s="165"/>
      <c r="AP13" s="165"/>
      <c r="AQ13" s="165"/>
      <c r="AR13" s="165"/>
      <c r="AS13" s="122"/>
      <c r="AT13" s="158">
        <v>0</v>
      </c>
      <c r="AU13" s="159"/>
      <c r="AV13" s="159"/>
      <c r="AW13" s="160"/>
      <c r="AX13" s="122"/>
      <c r="AY13" s="121">
        <v>0</v>
      </c>
      <c r="AZ13" s="122"/>
      <c r="BA13" s="122"/>
      <c r="BB13" s="121" t="s">
        <v>14</v>
      </c>
      <c r="BC13" s="122"/>
      <c r="BD13" s="121">
        <f t="shared" si="5"/>
        <v>15</v>
      </c>
      <c r="BE13" s="121">
        <f t="shared" si="6"/>
        <v>15</v>
      </c>
      <c r="BF13" s="121">
        <f t="shared" si="7"/>
        <v>15</v>
      </c>
      <c r="BJ13" s="122" t="str">
        <f t="shared" si="8"/>
        <v>{Scr1Col1Row6, "Scr1 Col1 Row 6", 6, 1, 0, 1, 6, 19,"V"},</v>
      </c>
      <c r="BK13" s="122" t="str">
        <f t="shared" si="1"/>
        <v>{Scr1Col2Row6, "Scr1 Col2 Row 6", 6, 28, 0, 0, 6, 46,"V"},</v>
      </c>
      <c r="BL13" s="122" t="str">
        <f t="shared" si="2"/>
        <v>{Scr1Col3Row6, "Scr1 Col3 Row 6", 6, 55, 0, 0, 6, 73,"V"},</v>
      </c>
      <c r="BM13" s="122"/>
      <c r="BN13" s="122"/>
      <c r="BO13" s="122"/>
      <c r="BP13" s="122"/>
      <c r="BQ13" s="122"/>
      <c r="BR13" s="122"/>
      <c r="BS13" s="122"/>
      <c r="BT13" s="122"/>
      <c r="BU13" s="122"/>
      <c r="BV13" s="122"/>
      <c r="BW13" s="122"/>
      <c r="BX13" s="122"/>
      <c r="BY13" s="122"/>
      <c r="BZ13" s="122"/>
      <c r="CA13" s="122"/>
      <c r="CB13" s="122"/>
      <c r="CC13" s="122"/>
      <c r="CD13" s="122"/>
      <c r="CE13" s="122"/>
      <c r="CF13" s="122"/>
      <c r="CG13" s="122"/>
      <c r="CH13" s="122"/>
      <c r="CI13" s="122"/>
      <c r="CJ13" s="122"/>
      <c r="CK13" s="122"/>
      <c r="CL13" s="122"/>
      <c r="CM13" s="122"/>
      <c r="CN13" s="122"/>
      <c r="CO13" s="122"/>
      <c r="CP13" s="122"/>
      <c r="CQ13" s="122"/>
      <c r="CR13" s="122"/>
      <c r="CS13" s="122"/>
      <c r="CT13" s="122"/>
      <c r="CU13" s="122"/>
      <c r="CV13" s="122"/>
      <c r="CW13" s="122"/>
      <c r="CX13" s="122"/>
      <c r="CY13" s="122"/>
      <c r="CZ13" s="122"/>
    </row>
    <row r="14" spans="1:104" x14ac:dyDescent="0.25">
      <c r="A14" s="119">
        <v>7</v>
      </c>
      <c r="B14" s="126" t="str">
        <f t="shared" si="3"/>
        <v>Scr1Col1Row7</v>
      </c>
      <c r="C14" s="165" t="s">
        <v>291</v>
      </c>
      <c r="D14" s="165"/>
      <c r="E14" s="165"/>
      <c r="F14" s="165"/>
      <c r="G14" s="165"/>
      <c r="H14" s="165"/>
      <c r="I14" s="122"/>
      <c r="J14" s="158">
        <v>0</v>
      </c>
      <c r="K14" s="159"/>
      <c r="L14" s="159"/>
      <c r="M14" s="160"/>
      <c r="N14" s="122"/>
      <c r="O14" s="121">
        <v>1</v>
      </c>
      <c r="P14" s="122"/>
      <c r="Q14" s="122"/>
      <c r="R14" s="121" t="s">
        <v>14</v>
      </c>
      <c r="S14" s="122"/>
      <c r="T14" s="121" t="str">
        <f t="shared" si="0"/>
        <v>Scr1Col2Row7</v>
      </c>
      <c r="U14" s="165" t="s">
        <v>315</v>
      </c>
      <c r="V14" s="165"/>
      <c r="W14" s="165"/>
      <c r="X14" s="165"/>
      <c r="Y14" s="165"/>
      <c r="Z14" s="165"/>
      <c r="AA14" s="122"/>
      <c r="AB14" s="158">
        <v>0</v>
      </c>
      <c r="AC14" s="159"/>
      <c r="AD14" s="159"/>
      <c r="AE14" s="160"/>
      <c r="AF14" s="122"/>
      <c r="AG14" s="121">
        <v>0</v>
      </c>
      <c r="AH14" s="122"/>
      <c r="AI14" s="122"/>
      <c r="AJ14" s="121" t="s">
        <v>14</v>
      </c>
      <c r="AK14" s="122"/>
      <c r="AL14" s="121" t="str">
        <f t="shared" si="4"/>
        <v>Scr1Col3Row7</v>
      </c>
      <c r="AM14" s="165" t="s">
        <v>339</v>
      </c>
      <c r="AN14" s="165"/>
      <c r="AO14" s="165"/>
      <c r="AP14" s="165"/>
      <c r="AQ14" s="165"/>
      <c r="AR14" s="165"/>
      <c r="AS14" s="122"/>
      <c r="AT14" s="158">
        <v>0</v>
      </c>
      <c r="AU14" s="159"/>
      <c r="AV14" s="159"/>
      <c r="AW14" s="160"/>
      <c r="AX14" s="122"/>
      <c r="AY14" s="121">
        <v>4</v>
      </c>
      <c r="AZ14" s="122"/>
      <c r="BA14" s="122"/>
      <c r="BB14" s="121" t="s">
        <v>184</v>
      </c>
      <c r="BC14" s="122"/>
      <c r="BD14" s="121">
        <f t="shared" si="5"/>
        <v>15</v>
      </c>
      <c r="BE14" s="121">
        <f t="shared" si="6"/>
        <v>15</v>
      </c>
      <c r="BF14" s="121">
        <f t="shared" si="7"/>
        <v>15</v>
      </c>
      <c r="BJ14" s="122" t="str">
        <f t="shared" si="8"/>
        <v>{Scr1Col1Row7, "Scr1 Col1 Row 7", 7, 1, 0, 1, 7, 19,"V"},</v>
      </c>
      <c r="BK14" s="122" t="str">
        <f t="shared" si="1"/>
        <v>{Scr1Col2Row7, "Scr1 Col2 Row 7", 7, 28, 0, 0, 7, 46,"V"},</v>
      </c>
      <c r="BL14" s="122" t="str">
        <f t="shared" si="2"/>
        <v>{Scr1Col3Row7, "Scr1 Col3 Row 7", 7, 55, 0, 4, 7, 73,"X"},</v>
      </c>
      <c r="BM14" s="122"/>
      <c r="BN14" s="122"/>
      <c r="BO14" s="122"/>
      <c r="BP14" s="122"/>
      <c r="BQ14" s="122"/>
      <c r="BR14" s="122"/>
      <c r="BS14" s="122"/>
      <c r="BT14" s="122"/>
      <c r="BU14" s="122"/>
      <c r="BV14" s="122"/>
      <c r="BW14" s="122"/>
      <c r="BX14" s="122"/>
      <c r="BY14" s="122"/>
      <c r="BZ14" s="122"/>
      <c r="CA14" s="122"/>
      <c r="CB14" s="122"/>
      <c r="CC14" s="122"/>
      <c r="CD14" s="122"/>
      <c r="CE14" s="122"/>
      <c r="CF14" s="122"/>
      <c r="CG14" s="122"/>
      <c r="CH14" s="122"/>
      <c r="CI14" s="122"/>
      <c r="CJ14" s="122"/>
      <c r="CK14" s="122"/>
      <c r="CL14" s="122"/>
      <c r="CM14" s="122"/>
      <c r="CN14" s="122"/>
      <c r="CO14" s="122"/>
      <c r="CP14" s="122"/>
      <c r="CQ14" s="122"/>
      <c r="CR14" s="122"/>
      <c r="CS14" s="122"/>
      <c r="CT14" s="122"/>
      <c r="CU14" s="122"/>
      <c r="CV14" s="122"/>
      <c r="CW14" s="122"/>
      <c r="CX14" s="122"/>
      <c r="CY14" s="122"/>
      <c r="CZ14" s="122"/>
    </row>
    <row r="15" spans="1:104" ht="15.75" thickBot="1" x14ac:dyDescent="0.3">
      <c r="A15" s="119">
        <v>8</v>
      </c>
      <c r="B15" s="127" t="str">
        <f t="shared" si="3"/>
        <v>Scr1Col1Row8</v>
      </c>
      <c r="C15" s="169" t="s">
        <v>292</v>
      </c>
      <c r="D15" s="169"/>
      <c r="E15" s="169"/>
      <c r="F15" s="169"/>
      <c r="G15" s="169"/>
      <c r="H15" s="169"/>
      <c r="I15" s="123"/>
      <c r="J15" s="166">
        <v>0</v>
      </c>
      <c r="K15" s="167"/>
      <c r="L15" s="167"/>
      <c r="M15" s="168"/>
      <c r="N15" s="123"/>
      <c r="O15" s="128">
        <v>1</v>
      </c>
      <c r="P15" s="123"/>
      <c r="Q15" s="123"/>
      <c r="R15" s="128" t="s">
        <v>14</v>
      </c>
      <c r="S15" s="123"/>
      <c r="T15" s="128" t="str">
        <f t="shared" si="0"/>
        <v>Scr1Col2Row8</v>
      </c>
      <c r="U15" s="169" t="s">
        <v>316</v>
      </c>
      <c r="V15" s="169"/>
      <c r="W15" s="169"/>
      <c r="X15" s="169"/>
      <c r="Y15" s="169"/>
      <c r="Z15" s="169"/>
      <c r="AA15" s="123"/>
      <c r="AB15" s="166">
        <v>0</v>
      </c>
      <c r="AC15" s="167"/>
      <c r="AD15" s="167"/>
      <c r="AE15" s="168"/>
      <c r="AF15" s="123"/>
      <c r="AG15" s="128">
        <v>0</v>
      </c>
      <c r="AH15" s="123"/>
      <c r="AI15" s="123"/>
      <c r="AJ15" s="128" t="s">
        <v>14</v>
      </c>
      <c r="AK15" s="123"/>
      <c r="AL15" s="128" t="str">
        <f t="shared" si="4"/>
        <v>Scr1Col3Row8</v>
      </c>
      <c r="AM15" s="169" t="s">
        <v>340</v>
      </c>
      <c r="AN15" s="169"/>
      <c r="AO15" s="169"/>
      <c r="AP15" s="169"/>
      <c r="AQ15" s="169"/>
      <c r="AR15" s="169"/>
      <c r="AS15" s="123"/>
      <c r="AT15" s="166">
        <v>0</v>
      </c>
      <c r="AU15" s="167"/>
      <c r="AV15" s="167"/>
      <c r="AW15" s="168"/>
      <c r="AX15" s="123"/>
      <c r="AY15" s="128">
        <v>4</v>
      </c>
      <c r="AZ15" s="123"/>
      <c r="BA15" s="123"/>
      <c r="BB15" s="128" t="s">
        <v>184</v>
      </c>
      <c r="BC15" s="123"/>
      <c r="BD15" s="121">
        <f t="shared" si="5"/>
        <v>15</v>
      </c>
      <c r="BE15" s="121">
        <f t="shared" si="6"/>
        <v>15</v>
      </c>
      <c r="BF15" s="121">
        <f t="shared" si="7"/>
        <v>15</v>
      </c>
      <c r="BJ15" s="122" t="str">
        <f t="shared" si="8"/>
        <v>{Scr1Col1Row8, "Scr1 Col1 Row 8", 8, 1, 0, 1, 8, 19,"V"},</v>
      </c>
      <c r="BK15" s="122" t="str">
        <f t="shared" si="1"/>
        <v>{Scr1Col2Row8, "Scr1 Col2 Row 8", 8, 28, 0, 0, 8, 46,"V"},</v>
      </c>
      <c r="BL15" s="122" t="str">
        <f t="shared" si="2"/>
        <v>{Scr1Col3Row8, "Scr1 Col3 Row 8", 8, 55, 0, 4, 8, 73,"X"},</v>
      </c>
      <c r="BM15" s="122"/>
      <c r="BN15" s="122"/>
      <c r="BO15" s="122"/>
      <c r="BP15" s="122"/>
      <c r="BQ15" s="122"/>
      <c r="BR15" s="122"/>
      <c r="BS15" s="122"/>
      <c r="BT15" s="122"/>
      <c r="BU15" s="122"/>
      <c r="BV15" s="122"/>
      <c r="BW15" s="122"/>
      <c r="BX15" s="122"/>
      <c r="BY15" s="122"/>
      <c r="BZ15" s="122"/>
      <c r="CA15" s="122"/>
      <c r="CB15" s="122"/>
      <c r="CC15" s="122"/>
      <c r="CD15" s="122"/>
      <c r="CE15" s="122"/>
      <c r="CF15" s="122"/>
      <c r="CG15" s="122"/>
      <c r="CH15" s="122"/>
      <c r="CI15" s="122"/>
      <c r="CJ15" s="122"/>
      <c r="CK15" s="122"/>
      <c r="CL15" s="122"/>
      <c r="CM15" s="122"/>
      <c r="CN15" s="122"/>
      <c r="CO15" s="122"/>
      <c r="CP15" s="122"/>
      <c r="CQ15" s="122"/>
      <c r="CR15" s="122"/>
      <c r="CS15" s="122"/>
      <c r="CT15" s="122"/>
      <c r="CU15" s="122"/>
      <c r="CV15" s="122"/>
      <c r="CW15" s="122"/>
      <c r="CX15" s="122"/>
      <c r="CY15" s="122"/>
      <c r="CZ15" s="122"/>
    </row>
    <row r="16" spans="1:104" x14ac:dyDescent="0.25">
      <c r="A16" s="119">
        <v>9</v>
      </c>
      <c r="B16" s="124" t="str">
        <f t="shared" si="3"/>
        <v>Scr1Col1Row9</v>
      </c>
      <c r="C16" s="161" t="s">
        <v>293</v>
      </c>
      <c r="D16" s="161"/>
      <c r="E16" s="161"/>
      <c r="F16" s="161"/>
      <c r="G16" s="161"/>
      <c r="H16" s="161"/>
      <c r="I16" s="120"/>
      <c r="J16" s="162">
        <v>0</v>
      </c>
      <c r="K16" s="163"/>
      <c r="L16" s="163"/>
      <c r="M16" s="164"/>
      <c r="N16" s="120"/>
      <c r="O16" s="125">
        <v>1</v>
      </c>
      <c r="P16" s="120"/>
      <c r="Q16" s="120"/>
      <c r="R16" s="125" t="s">
        <v>14</v>
      </c>
      <c r="S16" s="120"/>
      <c r="T16" s="125" t="str">
        <f t="shared" si="0"/>
        <v>Scr1Col2Row9</v>
      </c>
      <c r="U16" s="161" t="s">
        <v>317</v>
      </c>
      <c r="V16" s="161"/>
      <c r="W16" s="161"/>
      <c r="X16" s="161"/>
      <c r="Y16" s="161"/>
      <c r="Z16" s="161"/>
      <c r="AA16" s="120"/>
      <c r="AB16" s="162">
        <v>0</v>
      </c>
      <c r="AC16" s="163"/>
      <c r="AD16" s="163"/>
      <c r="AE16" s="164"/>
      <c r="AF16" s="120"/>
      <c r="AG16" s="125">
        <v>0</v>
      </c>
      <c r="AH16" s="120"/>
      <c r="AI16" s="120"/>
      <c r="AJ16" s="125" t="s">
        <v>14</v>
      </c>
      <c r="AK16" s="120"/>
      <c r="AL16" s="125" t="str">
        <f t="shared" si="4"/>
        <v>Scr1Col3Row9</v>
      </c>
      <c r="AM16" s="161" t="s">
        <v>341</v>
      </c>
      <c r="AN16" s="161"/>
      <c r="AO16" s="161"/>
      <c r="AP16" s="161"/>
      <c r="AQ16" s="161"/>
      <c r="AR16" s="161"/>
      <c r="AS16" s="120"/>
      <c r="AT16" s="162">
        <v>0</v>
      </c>
      <c r="AU16" s="163"/>
      <c r="AV16" s="163"/>
      <c r="AW16" s="164"/>
      <c r="AX16" s="120"/>
      <c r="AY16" s="125">
        <v>4</v>
      </c>
      <c r="AZ16" s="120"/>
      <c r="BA16" s="120"/>
      <c r="BB16" s="125" t="s">
        <v>184</v>
      </c>
      <c r="BC16" s="120"/>
      <c r="BD16" s="121">
        <f t="shared" si="5"/>
        <v>15</v>
      </c>
      <c r="BE16" s="121">
        <f t="shared" si="6"/>
        <v>15</v>
      </c>
      <c r="BF16" s="121">
        <f t="shared" si="7"/>
        <v>15</v>
      </c>
      <c r="BJ16" s="122" t="str">
        <f t="shared" si="8"/>
        <v>{Scr1Col1Row9, "Scr1 Col1 Row 9", 9, 1, 0, 1, 9, 19,"V"},</v>
      </c>
      <c r="BK16" s="122" t="str">
        <f t="shared" si="1"/>
        <v>{Scr1Col2Row9, "Scr1 Col2 Row 9", 9, 28, 0, 0, 9, 46,"V"},</v>
      </c>
      <c r="BL16" s="122" t="str">
        <f t="shared" si="2"/>
        <v>{Scr1Col3Row9, "Scr1 Col3 Row 9", 9, 55, 0, 4, 9, 73,"X"},</v>
      </c>
      <c r="BM16" s="122"/>
      <c r="BN16" s="122"/>
      <c r="BO16" s="122"/>
      <c r="BP16" s="122"/>
      <c r="BQ16" s="122"/>
      <c r="BR16" s="122"/>
      <c r="BS16" s="122"/>
      <c r="BT16" s="122"/>
      <c r="BU16" s="122"/>
      <c r="BV16" s="122"/>
      <c r="BW16" s="122"/>
      <c r="BX16" s="122"/>
      <c r="BY16" s="122"/>
      <c r="BZ16" s="122"/>
      <c r="CA16" s="122"/>
      <c r="CB16" s="122"/>
      <c r="CC16" s="122"/>
      <c r="CD16" s="122"/>
      <c r="CE16" s="122"/>
      <c r="CF16" s="122"/>
      <c r="CG16" s="122"/>
      <c r="CH16" s="122"/>
      <c r="CI16" s="122"/>
      <c r="CJ16" s="122"/>
      <c r="CK16" s="122"/>
      <c r="CL16" s="122"/>
      <c r="CM16" s="122"/>
      <c r="CN16" s="122"/>
      <c r="CO16" s="122"/>
      <c r="CP16" s="122"/>
      <c r="CQ16" s="122"/>
      <c r="CR16" s="122"/>
      <c r="CS16" s="122"/>
      <c r="CT16" s="122"/>
      <c r="CU16" s="122"/>
      <c r="CV16" s="122"/>
      <c r="CW16" s="122"/>
      <c r="CX16" s="122"/>
      <c r="CY16" s="122"/>
      <c r="CZ16" s="122"/>
    </row>
    <row r="17" spans="1:104" x14ac:dyDescent="0.25">
      <c r="A17" s="119">
        <v>10</v>
      </c>
      <c r="B17" s="126" t="str">
        <f t="shared" si="3"/>
        <v>Scr1Col1Row10</v>
      </c>
      <c r="C17" s="165" t="s">
        <v>294</v>
      </c>
      <c r="D17" s="165"/>
      <c r="E17" s="165"/>
      <c r="F17" s="165"/>
      <c r="G17" s="165"/>
      <c r="H17" s="165"/>
      <c r="I17" s="122"/>
      <c r="J17" s="158">
        <v>0</v>
      </c>
      <c r="K17" s="159"/>
      <c r="L17" s="159"/>
      <c r="M17" s="160"/>
      <c r="N17" s="122"/>
      <c r="O17" s="121">
        <v>1</v>
      </c>
      <c r="P17" s="122"/>
      <c r="Q17" s="122"/>
      <c r="R17" s="121" t="s">
        <v>14</v>
      </c>
      <c r="S17" s="122"/>
      <c r="T17" s="121" t="str">
        <f t="shared" si="0"/>
        <v>Scr1Col2Row10</v>
      </c>
      <c r="U17" s="165" t="s">
        <v>318</v>
      </c>
      <c r="V17" s="165"/>
      <c r="W17" s="165"/>
      <c r="X17" s="165"/>
      <c r="Y17" s="165"/>
      <c r="Z17" s="165"/>
      <c r="AA17" s="122"/>
      <c r="AB17" s="158">
        <v>0</v>
      </c>
      <c r="AC17" s="159"/>
      <c r="AD17" s="159"/>
      <c r="AE17" s="160"/>
      <c r="AF17" s="122"/>
      <c r="AG17" s="121">
        <v>0</v>
      </c>
      <c r="AH17" s="122"/>
      <c r="AI17" s="122"/>
      <c r="AJ17" s="121" t="s">
        <v>14</v>
      </c>
      <c r="AK17" s="122"/>
      <c r="AL17" s="121" t="str">
        <f t="shared" si="4"/>
        <v>Scr1Col3Row10</v>
      </c>
      <c r="AM17" s="165" t="s">
        <v>342</v>
      </c>
      <c r="AN17" s="165"/>
      <c r="AO17" s="165"/>
      <c r="AP17" s="165"/>
      <c r="AQ17" s="165"/>
      <c r="AR17" s="165"/>
      <c r="AS17" s="122"/>
      <c r="AT17" s="158">
        <v>0</v>
      </c>
      <c r="AU17" s="159"/>
      <c r="AV17" s="159"/>
      <c r="AW17" s="160"/>
      <c r="AX17" s="122"/>
      <c r="AY17" s="121">
        <v>0</v>
      </c>
      <c r="AZ17" s="122"/>
      <c r="BA17" s="122"/>
      <c r="BB17" s="121" t="s">
        <v>14</v>
      </c>
      <c r="BC17" s="122"/>
      <c r="BD17" s="121">
        <f t="shared" si="5"/>
        <v>16</v>
      </c>
      <c r="BE17" s="121">
        <f t="shared" si="6"/>
        <v>16</v>
      </c>
      <c r="BF17" s="121">
        <f t="shared" si="7"/>
        <v>16</v>
      </c>
      <c r="BJ17" s="122" t="str">
        <f t="shared" si="8"/>
        <v>{Scr1Col1Row10, "Scr1 Col1 Row 10", 10, 1, 0, 1, 10, 19,"V"},</v>
      </c>
      <c r="BK17" s="122" t="str">
        <f t="shared" si="1"/>
        <v>{Scr1Col2Row10, "Scr1 Col2 Row 10", 10, 28, 0, 0, 10, 46,"V"},</v>
      </c>
      <c r="BL17" s="122" t="str">
        <f t="shared" si="2"/>
        <v>{Scr1Col3Row10, "Scr1 Col3 Row 10", 10, 55, 0, 0, 10, 73,"V"},</v>
      </c>
      <c r="BM17" s="122"/>
      <c r="BN17" s="122"/>
      <c r="BO17" s="122"/>
      <c r="BP17" s="122"/>
      <c r="BQ17" s="122"/>
      <c r="BR17" s="122"/>
      <c r="BS17" s="122"/>
      <c r="BT17" s="122"/>
      <c r="BU17" s="122"/>
      <c r="BV17" s="122"/>
      <c r="BW17" s="122"/>
      <c r="BX17" s="122"/>
      <c r="BY17" s="122"/>
      <c r="BZ17" s="122"/>
      <c r="CA17" s="122"/>
      <c r="CB17" s="122"/>
      <c r="CC17" s="122"/>
      <c r="CD17" s="122"/>
      <c r="CE17" s="122"/>
      <c r="CF17" s="122"/>
      <c r="CG17" s="122"/>
      <c r="CH17" s="122"/>
      <c r="CI17" s="122"/>
      <c r="CJ17" s="122"/>
      <c r="CK17" s="122"/>
      <c r="CL17" s="122"/>
      <c r="CM17" s="122"/>
      <c r="CN17" s="122"/>
      <c r="CO17" s="122"/>
      <c r="CP17" s="122"/>
      <c r="CQ17" s="122"/>
      <c r="CR17" s="122"/>
      <c r="CS17" s="122"/>
      <c r="CT17" s="122"/>
      <c r="CU17" s="122"/>
      <c r="CV17" s="122"/>
      <c r="CW17" s="122"/>
      <c r="CX17" s="122"/>
      <c r="CY17" s="122"/>
      <c r="CZ17" s="122"/>
    </row>
    <row r="18" spans="1:104" x14ac:dyDescent="0.25">
      <c r="A18" s="119">
        <v>11</v>
      </c>
      <c r="B18" s="126" t="str">
        <f t="shared" si="3"/>
        <v>Scr1Col1Row11</v>
      </c>
      <c r="C18" s="165" t="s">
        <v>295</v>
      </c>
      <c r="D18" s="165"/>
      <c r="E18" s="165"/>
      <c r="F18" s="165"/>
      <c r="G18" s="165"/>
      <c r="H18" s="165"/>
      <c r="I18" s="122"/>
      <c r="J18" s="158">
        <v>0</v>
      </c>
      <c r="K18" s="159"/>
      <c r="L18" s="159"/>
      <c r="M18" s="160"/>
      <c r="N18" s="122"/>
      <c r="O18" s="121">
        <v>1</v>
      </c>
      <c r="P18" s="122"/>
      <c r="Q18" s="122"/>
      <c r="R18" s="121" t="s">
        <v>14</v>
      </c>
      <c r="S18" s="122"/>
      <c r="T18" s="121" t="str">
        <f t="shared" ref="T18:T31" si="9">SUBSTITUTE(PROPER(U18)," ","")</f>
        <v>Scr1Col2Row11</v>
      </c>
      <c r="U18" s="165" t="s">
        <v>319</v>
      </c>
      <c r="V18" s="165"/>
      <c r="W18" s="165"/>
      <c r="X18" s="165"/>
      <c r="Y18" s="165"/>
      <c r="Z18" s="165"/>
      <c r="AA18" s="122"/>
      <c r="AB18" s="158">
        <v>0</v>
      </c>
      <c r="AC18" s="159"/>
      <c r="AD18" s="159"/>
      <c r="AE18" s="160"/>
      <c r="AF18" s="122"/>
      <c r="AG18" s="121">
        <v>1</v>
      </c>
      <c r="AH18" s="122"/>
      <c r="AI18" s="122"/>
      <c r="AJ18" s="121" t="s">
        <v>14</v>
      </c>
      <c r="AK18" s="122"/>
      <c r="AL18" s="121" t="str">
        <f t="shared" si="4"/>
        <v>Scr1Col3Row11</v>
      </c>
      <c r="AM18" s="165" t="s">
        <v>343</v>
      </c>
      <c r="AN18" s="165"/>
      <c r="AO18" s="165"/>
      <c r="AP18" s="165"/>
      <c r="AQ18" s="165"/>
      <c r="AR18" s="165"/>
      <c r="AS18" s="122"/>
      <c r="AT18" s="158">
        <v>0</v>
      </c>
      <c r="AU18" s="159"/>
      <c r="AV18" s="159"/>
      <c r="AW18" s="160"/>
      <c r="AX18" s="122"/>
      <c r="AY18" s="121">
        <v>0</v>
      </c>
      <c r="AZ18" s="122"/>
      <c r="BA18" s="122"/>
      <c r="BB18" s="121" t="s">
        <v>14</v>
      </c>
      <c r="BC18" s="122"/>
      <c r="BD18" s="121">
        <f t="shared" si="5"/>
        <v>16</v>
      </c>
      <c r="BE18" s="121">
        <f t="shared" si="6"/>
        <v>16</v>
      </c>
      <c r="BF18" s="121">
        <f t="shared" si="7"/>
        <v>16</v>
      </c>
      <c r="BJ18" s="122" t="str">
        <f t="shared" si="8"/>
        <v>{Scr1Col1Row11, "Scr1 Col1 Row 11", 11, 1, 0, 1, 11, 19,"V"},</v>
      </c>
      <c r="BK18" s="122" t="str">
        <f t="shared" si="1"/>
        <v>{Scr1Col2Row11, "Scr1 Col2 Row 11", 11, 28, 0, 1, 11, 46,"V"},</v>
      </c>
      <c r="BL18" s="122" t="str">
        <f t="shared" si="2"/>
        <v>{Scr1Col3Row11, "Scr1 Col3 Row 11", 11, 55, 0, 0, 11, 73,"V"},</v>
      </c>
      <c r="BM18" s="122"/>
      <c r="BN18" s="122"/>
      <c r="BO18" s="122"/>
      <c r="BP18" s="122"/>
      <c r="BQ18" s="122"/>
      <c r="BR18" s="122"/>
      <c r="BS18" s="122"/>
      <c r="BT18" s="122"/>
      <c r="BU18" s="122"/>
      <c r="BV18" s="122"/>
      <c r="BW18" s="122"/>
      <c r="BX18" s="122"/>
      <c r="BY18" s="122"/>
      <c r="BZ18" s="122"/>
      <c r="CA18" s="122"/>
      <c r="CB18" s="122"/>
      <c r="CC18" s="122"/>
      <c r="CD18" s="122"/>
      <c r="CE18" s="122"/>
      <c r="CF18" s="122"/>
      <c r="CG18" s="122"/>
      <c r="CH18" s="122"/>
      <c r="CI18" s="122"/>
      <c r="CJ18" s="122"/>
      <c r="CK18" s="122"/>
      <c r="CL18" s="122"/>
      <c r="CM18" s="122"/>
      <c r="CN18" s="122"/>
      <c r="CO18" s="122"/>
      <c r="CP18" s="122"/>
      <c r="CQ18" s="122"/>
      <c r="CR18" s="122"/>
      <c r="CS18" s="122"/>
      <c r="CT18" s="122"/>
      <c r="CU18" s="122"/>
      <c r="CV18" s="122"/>
      <c r="CW18" s="122"/>
      <c r="CX18" s="122"/>
      <c r="CY18" s="122"/>
      <c r="CZ18" s="122"/>
    </row>
    <row r="19" spans="1:104" x14ac:dyDescent="0.25">
      <c r="A19" s="119">
        <v>12</v>
      </c>
      <c r="B19" s="126" t="str">
        <f t="shared" si="3"/>
        <v>Scr1Col1Row12</v>
      </c>
      <c r="C19" s="165" t="s">
        <v>296</v>
      </c>
      <c r="D19" s="165"/>
      <c r="E19" s="165"/>
      <c r="F19" s="165"/>
      <c r="G19" s="165"/>
      <c r="H19" s="165"/>
      <c r="I19" s="122"/>
      <c r="J19" s="158">
        <v>0</v>
      </c>
      <c r="K19" s="159"/>
      <c r="L19" s="159"/>
      <c r="M19" s="160"/>
      <c r="N19" s="122"/>
      <c r="O19" s="121">
        <v>1</v>
      </c>
      <c r="P19" s="122"/>
      <c r="Q19" s="122"/>
      <c r="R19" s="121" t="s">
        <v>14</v>
      </c>
      <c r="S19" s="122"/>
      <c r="T19" s="121" t="str">
        <f t="shared" si="9"/>
        <v>Scr1Col2Row12</v>
      </c>
      <c r="U19" s="165" t="s">
        <v>320</v>
      </c>
      <c r="V19" s="165"/>
      <c r="W19" s="165"/>
      <c r="X19" s="165"/>
      <c r="Y19" s="165"/>
      <c r="Z19" s="165"/>
      <c r="AA19" s="122"/>
      <c r="AB19" s="158">
        <v>0</v>
      </c>
      <c r="AC19" s="159"/>
      <c r="AD19" s="159"/>
      <c r="AE19" s="160"/>
      <c r="AF19" s="122"/>
      <c r="AG19" s="121">
        <v>1</v>
      </c>
      <c r="AH19" s="122"/>
      <c r="AI19" s="122"/>
      <c r="AJ19" s="121" t="s">
        <v>14</v>
      </c>
      <c r="AK19" s="122"/>
      <c r="AL19" s="121" t="str">
        <f t="shared" si="4"/>
        <v>Scr1Col3Row12</v>
      </c>
      <c r="AM19" s="165" t="s">
        <v>344</v>
      </c>
      <c r="AN19" s="165"/>
      <c r="AO19" s="165"/>
      <c r="AP19" s="165"/>
      <c r="AQ19" s="165"/>
      <c r="AR19" s="165"/>
      <c r="AS19" s="122"/>
      <c r="AT19" s="158">
        <v>0</v>
      </c>
      <c r="AU19" s="159"/>
      <c r="AV19" s="159"/>
      <c r="AW19" s="160"/>
      <c r="AX19" s="122"/>
      <c r="AY19" s="121">
        <v>1</v>
      </c>
      <c r="AZ19" s="122"/>
      <c r="BA19" s="122"/>
      <c r="BB19" s="121" t="s">
        <v>14</v>
      </c>
      <c r="BC19" s="122"/>
      <c r="BD19" s="121">
        <f t="shared" si="5"/>
        <v>16</v>
      </c>
      <c r="BE19" s="121">
        <f t="shared" si="6"/>
        <v>16</v>
      </c>
      <c r="BF19" s="121">
        <f t="shared" si="7"/>
        <v>16</v>
      </c>
      <c r="BJ19" s="122" t="str">
        <f t="shared" si="8"/>
        <v>{Scr1Col1Row12, "Scr1 Col1 Row 12", 12, 1, 0, 1, 12, 19,"V"},</v>
      </c>
      <c r="BK19" s="122" t="str">
        <f t="shared" si="1"/>
        <v>{Scr1Col2Row12, "Scr1 Col2 Row 12", 12, 28, 0, 1, 12, 46,"V"},</v>
      </c>
      <c r="BL19" s="122" t="str">
        <f t="shared" si="2"/>
        <v>{Scr1Col3Row12, "Scr1 Col3 Row 12", 12, 55, 0, 1, 12, 73,"V"},</v>
      </c>
      <c r="BM19" s="122"/>
      <c r="BN19" s="122"/>
      <c r="BO19" s="122"/>
      <c r="BP19" s="122"/>
      <c r="BQ19" s="122"/>
      <c r="BR19" s="122"/>
      <c r="BS19" s="122"/>
      <c r="BT19" s="122"/>
      <c r="BU19" s="122"/>
      <c r="BV19" s="122"/>
      <c r="BW19" s="122"/>
      <c r="BX19" s="122"/>
      <c r="BY19" s="122"/>
      <c r="BZ19" s="122"/>
      <c r="CA19" s="122"/>
      <c r="CB19" s="122"/>
      <c r="CC19" s="122"/>
      <c r="CD19" s="122"/>
      <c r="CE19" s="122"/>
      <c r="CF19" s="122"/>
      <c r="CG19" s="122"/>
      <c r="CH19" s="122"/>
      <c r="CI19" s="122"/>
      <c r="CJ19" s="122"/>
      <c r="CK19" s="122"/>
      <c r="CL19" s="122"/>
      <c r="CM19" s="122"/>
      <c r="CN19" s="122"/>
      <c r="CO19" s="122"/>
      <c r="CP19" s="122"/>
      <c r="CQ19" s="122"/>
      <c r="CR19" s="122"/>
      <c r="CS19" s="122"/>
      <c r="CT19" s="122"/>
      <c r="CU19" s="122"/>
      <c r="CV19" s="122"/>
      <c r="CW19" s="122"/>
      <c r="CX19" s="122"/>
      <c r="CY19" s="122"/>
      <c r="CZ19" s="122"/>
    </row>
    <row r="20" spans="1:104" x14ac:dyDescent="0.25">
      <c r="A20" s="119">
        <v>13</v>
      </c>
      <c r="B20" s="126" t="str">
        <f t="shared" si="3"/>
        <v>Scr1Col1Row13</v>
      </c>
      <c r="C20" s="165" t="s">
        <v>297</v>
      </c>
      <c r="D20" s="165"/>
      <c r="E20" s="165"/>
      <c r="F20" s="165"/>
      <c r="G20" s="165"/>
      <c r="H20" s="165"/>
      <c r="I20" s="122"/>
      <c r="J20" s="158">
        <v>0</v>
      </c>
      <c r="K20" s="159"/>
      <c r="L20" s="159"/>
      <c r="M20" s="160"/>
      <c r="N20" s="122"/>
      <c r="O20" s="129">
        <v>0</v>
      </c>
      <c r="P20" s="122"/>
      <c r="Q20" s="122"/>
      <c r="R20" s="121" t="s">
        <v>14</v>
      </c>
      <c r="S20" s="122"/>
      <c r="T20" s="121" t="str">
        <f t="shared" si="9"/>
        <v>Scr1Col2Row13</v>
      </c>
      <c r="U20" s="165" t="s">
        <v>321</v>
      </c>
      <c r="V20" s="165"/>
      <c r="W20" s="165"/>
      <c r="X20" s="165"/>
      <c r="Y20" s="165"/>
      <c r="Z20" s="165"/>
      <c r="AA20" s="122"/>
      <c r="AB20" s="158">
        <v>0</v>
      </c>
      <c r="AC20" s="159"/>
      <c r="AD20" s="159"/>
      <c r="AE20" s="160"/>
      <c r="AF20" s="122"/>
      <c r="AG20" s="121">
        <v>1</v>
      </c>
      <c r="AH20" s="122"/>
      <c r="AI20" s="122"/>
      <c r="AJ20" s="121" t="s">
        <v>14</v>
      </c>
      <c r="AK20" s="122"/>
      <c r="AL20" s="121" t="str">
        <f t="shared" si="4"/>
        <v>Scr1Col3Row13</v>
      </c>
      <c r="AM20" s="165" t="s">
        <v>345</v>
      </c>
      <c r="AN20" s="165"/>
      <c r="AO20" s="165"/>
      <c r="AP20" s="165"/>
      <c r="AQ20" s="165"/>
      <c r="AR20" s="165"/>
      <c r="AS20" s="122"/>
      <c r="AT20" s="158">
        <v>0</v>
      </c>
      <c r="AU20" s="159"/>
      <c r="AV20" s="159"/>
      <c r="AW20" s="160"/>
      <c r="AX20" s="122"/>
      <c r="AY20" s="121">
        <v>1</v>
      </c>
      <c r="AZ20" s="122"/>
      <c r="BA20" s="122"/>
      <c r="BB20" s="121" t="s">
        <v>14</v>
      </c>
      <c r="BC20" s="122"/>
      <c r="BD20" s="121">
        <f t="shared" si="5"/>
        <v>16</v>
      </c>
      <c r="BE20" s="121">
        <f t="shared" si="6"/>
        <v>16</v>
      </c>
      <c r="BF20" s="121">
        <f t="shared" si="7"/>
        <v>16</v>
      </c>
      <c r="BJ20" s="122" t="str">
        <f t="shared" si="8"/>
        <v>{Scr1Col1Row13, "Scr1 Col1 Row 13", 13, 1, 0, 0, 13, 19,"V"},</v>
      </c>
      <c r="BK20" s="122" t="str">
        <f t="shared" si="1"/>
        <v>{Scr1Col2Row13, "Scr1 Col2 Row 13", 13, 28, 0, 1, 13, 46,"V"},</v>
      </c>
      <c r="BL20" s="122" t="str">
        <f t="shared" si="2"/>
        <v>{Scr1Col3Row13, "Scr1 Col3 Row 13", 13, 55, 0, 1, 13, 73,"V"},</v>
      </c>
      <c r="BM20" s="122"/>
      <c r="BN20" s="122"/>
      <c r="BO20" s="122"/>
      <c r="BP20" s="122"/>
      <c r="BQ20" s="122"/>
      <c r="BR20" s="122"/>
      <c r="BS20" s="122"/>
      <c r="BT20" s="122"/>
      <c r="BU20" s="122"/>
      <c r="BV20" s="122"/>
      <c r="BW20" s="122"/>
      <c r="BX20" s="122"/>
      <c r="BY20" s="122"/>
      <c r="BZ20" s="122"/>
      <c r="CA20" s="122"/>
      <c r="CB20" s="122"/>
      <c r="CC20" s="122"/>
      <c r="CD20" s="122"/>
      <c r="CE20" s="122"/>
      <c r="CF20" s="122"/>
      <c r="CG20" s="122"/>
      <c r="CH20" s="122"/>
      <c r="CI20" s="122"/>
      <c r="CJ20" s="122"/>
      <c r="CK20" s="122"/>
      <c r="CL20" s="122"/>
      <c r="CM20" s="122"/>
      <c r="CN20" s="122"/>
      <c r="CO20" s="122"/>
      <c r="CP20" s="122"/>
      <c r="CQ20" s="122"/>
      <c r="CR20" s="122"/>
      <c r="CS20" s="122"/>
      <c r="CT20" s="122"/>
      <c r="CU20" s="122"/>
      <c r="CV20" s="122"/>
      <c r="CW20" s="122"/>
      <c r="CX20" s="122"/>
      <c r="CY20" s="122"/>
      <c r="CZ20" s="122"/>
    </row>
    <row r="21" spans="1:104" x14ac:dyDescent="0.25">
      <c r="A21" s="119">
        <v>14</v>
      </c>
      <c r="B21" s="126" t="str">
        <f t="shared" si="3"/>
        <v>Scr1Col1Row14</v>
      </c>
      <c r="C21" s="165" t="s">
        <v>298</v>
      </c>
      <c r="D21" s="165"/>
      <c r="E21" s="165"/>
      <c r="F21" s="165"/>
      <c r="G21" s="165"/>
      <c r="H21" s="165"/>
      <c r="I21" s="122"/>
      <c r="J21" s="158">
        <v>0</v>
      </c>
      <c r="K21" s="159"/>
      <c r="L21" s="159"/>
      <c r="M21" s="160"/>
      <c r="N21" s="122"/>
      <c r="O21" s="121">
        <v>1</v>
      </c>
      <c r="P21" s="122"/>
      <c r="Q21" s="122"/>
      <c r="R21" s="121" t="s">
        <v>14</v>
      </c>
      <c r="S21" s="122"/>
      <c r="T21" s="121" t="str">
        <f t="shared" si="9"/>
        <v>Scr1Col2Row14</v>
      </c>
      <c r="U21" s="165" t="s">
        <v>322</v>
      </c>
      <c r="V21" s="165"/>
      <c r="W21" s="165"/>
      <c r="X21" s="165"/>
      <c r="Y21" s="165"/>
      <c r="Z21" s="165"/>
      <c r="AA21" s="122"/>
      <c r="AB21" s="158">
        <v>0</v>
      </c>
      <c r="AC21" s="159"/>
      <c r="AD21" s="159"/>
      <c r="AE21" s="160"/>
      <c r="AF21" s="122"/>
      <c r="AG21" s="121">
        <v>1</v>
      </c>
      <c r="AH21" s="122"/>
      <c r="AI21" s="122"/>
      <c r="AJ21" s="121" t="s">
        <v>14</v>
      </c>
      <c r="AK21" s="122"/>
      <c r="AL21" s="121" t="str">
        <f t="shared" si="4"/>
        <v>Scr1Col3Row14</v>
      </c>
      <c r="AM21" s="165" t="s">
        <v>346</v>
      </c>
      <c r="AN21" s="165"/>
      <c r="AO21" s="165"/>
      <c r="AP21" s="165"/>
      <c r="AQ21" s="165"/>
      <c r="AR21" s="165"/>
      <c r="AS21" s="122"/>
      <c r="AT21" s="158">
        <v>0</v>
      </c>
      <c r="AU21" s="159"/>
      <c r="AV21" s="159"/>
      <c r="AW21" s="160"/>
      <c r="AX21" s="122"/>
      <c r="AY21" s="121">
        <v>1</v>
      </c>
      <c r="AZ21" s="122"/>
      <c r="BA21" s="122"/>
      <c r="BB21" s="121" t="s">
        <v>14</v>
      </c>
      <c r="BC21" s="122"/>
      <c r="BD21" s="121">
        <f t="shared" si="5"/>
        <v>16</v>
      </c>
      <c r="BE21" s="121">
        <f t="shared" si="6"/>
        <v>16</v>
      </c>
      <c r="BF21" s="121">
        <f t="shared" si="7"/>
        <v>16</v>
      </c>
      <c r="BJ21" s="122" t="str">
        <f t="shared" si="8"/>
        <v>{Scr1Col1Row14, "Scr1 Col1 Row 14", 14, 1, 0, 1, 14, 19,"V"},</v>
      </c>
      <c r="BK21" s="122" t="str">
        <f t="shared" si="1"/>
        <v>{Scr1Col2Row14, "Scr1 Col2 Row 14", 14, 28, 0, 1, 14, 46,"V"},</v>
      </c>
      <c r="BL21" s="122" t="str">
        <f t="shared" si="2"/>
        <v>{Scr1Col3Row14, "Scr1 Col3 Row 14", 14, 55, 0, 1, 14, 73,"V"},</v>
      </c>
      <c r="BM21" s="122"/>
      <c r="BN21" s="122"/>
      <c r="BO21" s="122"/>
      <c r="BP21" s="122"/>
      <c r="BQ21" s="122"/>
      <c r="BR21" s="122"/>
      <c r="BS21" s="122"/>
      <c r="BT21" s="122"/>
      <c r="BU21" s="122"/>
      <c r="BV21" s="122"/>
      <c r="BW21" s="122"/>
      <c r="BX21" s="122"/>
      <c r="BY21" s="122"/>
      <c r="BZ21" s="122"/>
      <c r="CA21" s="122"/>
      <c r="CB21" s="122"/>
      <c r="CC21" s="122"/>
      <c r="CD21" s="122"/>
      <c r="CE21" s="122"/>
      <c r="CF21" s="122"/>
      <c r="CG21" s="122"/>
      <c r="CH21" s="122"/>
      <c r="CI21" s="122"/>
      <c r="CJ21" s="122"/>
      <c r="CK21" s="122"/>
      <c r="CL21" s="122"/>
      <c r="CM21" s="122"/>
      <c r="CN21" s="122"/>
      <c r="CO21" s="122"/>
      <c r="CP21" s="122"/>
      <c r="CQ21" s="122"/>
      <c r="CR21" s="122"/>
      <c r="CS21" s="122"/>
      <c r="CT21" s="122"/>
      <c r="CU21" s="122"/>
      <c r="CV21" s="122"/>
      <c r="CW21" s="122"/>
      <c r="CX21" s="122"/>
      <c r="CY21" s="122"/>
      <c r="CZ21" s="122"/>
    </row>
    <row r="22" spans="1:104" x14ac:dyDescent="0.25">
      <c r="A22" s="119">
        <v>15</v>
      </c>
      <c r="B22" s="126" t="str">
        <f t="shared" si="3"/>
        <v>Scr1Col1Row15</v>
      </c>
      <c r="C22" s="165" t="s">
        <v>299</v>
      </c>
      <c r="D22" s="165"/>
      <c r="E22" s="165"/>
      <c r="F22" s="165"/>
      <c r="G22" s="165"/>
      <c r="H22" s="165"/>
      <c r="I22" s="122"/>
      <c r="J22" s="158">
        <v>0</v>
      </c>
      <c r="K22" s="159"/>
      <c r="L22" s="159"/>
      <c r="M22" s="160"/>
      <c r="N22" s="122"/>
      <c r="O22" s="121">
        <v>1</v>
      </c>
      <c r="P22" s="122"/>
      <c r="Q22" s="122"/>
      <c r="R22" s="121" t="s">
        <v>14</v>
      </c>
      <c r="S22" s="122"/>
      <c r="T22" s="121" t="str">
        <f t="shared" si="9"/>
        <v>Scr1Col2Row15</v>
      </c>
      <c r="U22" s="165" t="s">
        <v>323</v>
      </c>
      <c r="V22" s="165"/>
      <c r="W22" s="165"/>
      <c r="X22" s="165"/>
      <c r="Y22" s="165"/>
      <c r="Z22" s="165"/>
      <c r="AA22" s="122"/>
      <c r="AB22" s="158">
        <v>0</v>
      </c>
      <c r="AC22" s="159"/>
      <c r="AD22" s="159"/>
      <c r="AE22" s="160"/>
      <c r="AF22" s="122"/>
      <c r="AG22" s="121">
        <v>0</v>
      </c>
      <c r="AH22" s="122"/>
      <c r="AI22" s="122"/>
      <c r="AJ22" s="121" t="s">
        <v>0</v>
      </c>
      <c r="AK22" s="122"/>
      <c r="AL22" s="121" t="str">
        <f t="shared" si="4"/>
        <v>Scr1Col3Row15</v>
      </c>
      <c r="AM22" s="165" t="s">
        <v>347</v>
      </c>
      <c r="AN22" s="165"/>
      <c r="AO22" s="165"/>
      <c r="AP22" s="165"/>
      <c r="AQ22" s="165"/>
      <c r="AR22" s="165"/>
      <c r="AS22" s="122"/>
      <c r="AT22" s="158">
        <v>0</v>
      </c>
      <c r="AU22" s="159"/>
      <c r="AV22" s="159"/>
      <c r="AW22" s="160"/>
      <c r="AX22" s="122"/>
      <c r="AY22" s="130">
        <v>0</v>
      </c>
      <c r="AZ22" s="122"/>
      <c r="BA22" s="122"/>
      <c r="BB22" s="131" t="s">
        <v>0</v>
      </c>
      <c r="BC22" s="122"/>
      <c r="BD22" s="121">
        <f t="shared" si="5"/>
        <v>16</v>
      </c>
      <c r="BE22" s="121">
        <f t="shared" si="6"/>
        <v>16</v>
      </c>
      <c r="BF22" s="121">
        <f t="shared" si="7"/>
        <v>16</v>
      </c>
      <c r="BJ22" s="122" t="str">
        <f t="shared" si="8"/>
        <v>{Scr1Col1Row15, "Scr1 Col1 Row 15", 15, 1, 0, 1, 15, 19,"V"},</v>
      </c>
      <c r="BK22" s="122" t="str">
        <f t="shared" si="1"/>
        <v>{Scr1Col2Row15, "Scr1 Col2 Row 15", 15, 28, 0, 0, 15, 46,"A"},</v>
      </c>
      <c r="BL22" s="122" t="str">
        <f t="shared" si="2"/>
        <v>{Scr1Col3Row15, "Scr1 Col3 Row 15", 15, 55, 0, 0, 15, 73,"A"},</v>
      </c>
      <c r="BM22" s="122"/>
      <c r="BN22" s="122"/>
      <c r="BO22" s="122"/>
      <c r="BP22" s="122"/>
      <c r="BQ22" s="122"/>
      <c r="BR22" s="122"/>
      <c r="BS22" s="122"/>
      <c r="BT22" s="122"/>
      <c r="BU22" s="122"/>
      <c r="BV22" s="122"/>
      <c r="BW22" s="122"/>
      <c r="BX22" s="122"/>
      <c r="BY22" s="122"/>
      <c r="BZ22" s="122"/>
      <c r="CA22" s="122"/>
      <c r="CB22" s="122"/>
      <c r="CC22" s="122"/>
      <c r="CD22" s="122"/>
      <c r="CE22" s="122"/>
      <c r="CF22" s="122"/>
      <c r="CG22" s="122"/>
      <c r="CH22" s="122"/>
      <c r="CI22" s="122"/>
      <c r="CJ22" s="122"/>
      <c r="CK22" s="122"/>
      <c r="CL22" s="122"/>
      <c r="CM22" s="122"/>
      <c r="CN22" s="122"/>
      <c r="CO22" s="122"/>
      <c r="CP22" s="122"/>
      <c r="CQ22" s="122"/>
      <c r="CR22" s="122"/>
      <c r="CS22" s="122"/>
      <c r="CT22" s="122"/>
      <c r="CU22" s="122"/>
      <c r="CV22" s="122"/>
      <c r="CW22" s="122"/>
      <c r="CX22" s="122"/>
      <c r="CY22" s="122"/>
      <c r="CZ22" s="122"/>
    </row>
    <row r="23" spans="1:104" ht="15.75" thickBot="1" x14ac:dyDescent="0.3">
      <c r="A23" s="119">
        <v>16</v>
      </c>
      <c r="B23" s="127" t="str">
        <f t="shared" si="3"/>
        <v>Scr1Col1Row16</v>
      </c>
      <c r="C23" s="169" t="s">
        <v>300</v>
      </c>
      <c r="D23" s="169"/>
      <c r="E23" s="169"/>
      <c r="F23" s="169"/>
      <c r="G23" s="169"/>
      <c r="H23" s="169"/>
      <c r="I23" s="123"/>
      <c r="J23" s="166">
        <v>0</v>
      </c>
      <c r="K23" s="167"/>
      <c r="L23" s="167"/>
      <c r="M23" s="168"/>
      <c r="N23" s="123"/>
      <c r="O23" s="128">
        <v>0</v>
      </c>
      <c r="P23" s="123"/>
      <c r="Q23" s="123"/>
      <c r="R23" s="128" t="s">
        <v>14</v>
      </c>
      <c r="S23" s="123"/>
      <c r="T23" s="128" t="str">
        <f t="shared" si="9"/>
        <v>Scr1Col2Row16</v>
      </c>
      <c r="U23" s="169" t="s">
        <v>324</v>
      </c>
      <c r="V23" s="169"/>
      <c r="W23" s="169"/>
      <c r="X23" s="169"/>
      <c r="Y23" s="169"/>
      <c r="Z23" s="169"/>
      <c r="AA23" s="123"/>
      <c r="AB23" s="166">
        <v>0</v>
      </c>
      <c r="AC23" s="167"/>
      <c r="AD23" s="167"/>
      <c r="AE23" s="168"/>
      <c r="AF23" s="123"/>
      <c r="AG23" s="128">
        <v>0</v>
      </c>
      <c r="AH23" s="123"/>
      <c r="AI23" s="123"/>
      <c r="AJ23" s="128" t="s">
        <v>0</v>
      </c>
      <c r="AK23" s="123"/>
      <c r="AL23" s="128" t="str">
        <f t="shared" si="4"/>
        <v>Scr1Col3Row16</v>
      </c>
      <c r="AM23" s="169" t="s">
        <v>348</v>
      </c>
      <c r="AN23" s="169"/>
      <c r="AO23" s="169"/>
      <c r="AP23" s="169"/>
      <c r="AQ23" s="169"/>
      <c r="AR23" s="169"/>
      <c r="AS23" s="123"/>
      <c r="AT23" s="166">
        <v>0</v>
      </c>
      <c r="AU23" s="167"/>
      <c r="AV23" s="167"/>
      <c r="AW23" s="168"/>
      <c r="AX23" s="123"/>
      <c r="AY23" s="128">
        <v>0</v>
      </c>
      <c r="AZ23" s="123"/>
      <c r="BA23" s="123"/>
      <c r="BB23" s="128" t="s">
        <v>0</v>
      </c>
      <c r="BC23" s="123"/>
      <c r="BD23" s="121">
        <f t="shared" si="5"/>
        <v>16</v>
      </c>
      <c r="BE23" s="121">
        <f t="shared" si="6"/>
        <v>16</v>
      </c>
      <c r="BF23" s="121">
        <f t="shared" si="7"/>
        <v>16</v>
      </c>
      <c r="BJ23" s="122" t="str">
        <f t="shared" si="8"/>
        <v>{Scr1Col1Row16, "Scr1 Col1 Row 16", 16, 1, 0, 0, 16, 19,"V"},</v>
      </c>
      <c r="BK23" s="122" t="str">
        <f t="shared" si="1"/>
        <v>{Scr1Col2Row16, "Scr1 Col2 Row 16", 16, 28, 0, 0, 16, 46,"A"},</v>
      </c>
      <c r="BL23" s="122" t="str">
        <f t="shared" si="2"/>
        <v>{Scr1Col3Row16, "Scr1 Col3 Row 16", 16, 55, 0, 0, 16, 73,"A"},</v>
      </c>
      <c r="BM23" s="122"/>
      <c r="BN23" s="122"/>
      <c r="BO23" s="122"/>
      <c r="BP23" s="122"/>
      <c r="BQ23" s="122"/>
      <c r="BR23" s="122"/>
      <c r="BS23" s="122"/>
      <c r="BT23" s="122"/>
      <c r="BU23" s="122"/>
      <c r="BV23" s="122"/>
      <c r="BW23" s="122"/>
      <c r="BX23" s="122"/>
      <c r="BY23" s="122"/>
      <c r="BZ23" s="122"/>
      <c r="CA23" s="122"/>
      <c r="CB23" s="122"/>
      <c r="CC23" s="122"/>
      <c r="CD23" s="122"/>
      <c r="CE23" s="122"/>
      <c r="CF23" s="122"/>
      <c r="CG23" s="122"/>
      <c r="CH23" s="122"/>
      <c r="CI23" s="122"/>
      <c r="CJ23" s="122"/>
      <c r="CK23" s="122"/>
      <c r="CL23" s="122"/>
      <c r="CM23" s="122"/>
      <c r="CN23" s="122"/>
      <c r="CO23" s="122"/>
      <c r="CP23" s="122"/>
      <c r="CQ23" s="122"/>
      <c r="CR23" s="122"/>
      <c r="CS23" s="122"/>
      <c r="CT23" s="122"/>
      <c r="CU23" s="122"/>
      <c r="CV23" s="122"/>
      <c r="CW23" s="122"/>
      <c r="CX23" s="122"/>
      <c r="CY23" s="122"/>
      <c r="CZ23" s="122"/>
    </row>
    <row r="24" spans="1:104" x14ac:dyDescent="0.25">
      <c r="A24" s="119">
        <v>17</v>
      </c>
      <c r="B24" s="124" t="str">
        <f t="shared" si="3"/>
        <v>Scr1Col1Row17</v>
      </c>
      <c r="C24" s="161" t="s">
        <v>301</v>
      </c>
      <c r="D24" s="161"/>
      <c r="E24" s="161"/>
      <c r="F24" s="161"/>
      <c r="G24" s="161"/>
      <c r="H24" s="161"/>
      <c r="I24" s="120"/>
      <c r="J24" s="162">
        <v>0</v>
      </c>
      <c r="K24" s="163"/>
      <c r="L24" s="163"/>
      <c r="M24" s="164"/>
      <c r="N24" s="120"/>
      <c r="O24" s="125">
        <v>0</v>
      </c>
      <c r="P24" s="120"/>
      <c r="Q24" s="120"/>
      <c r="R24" s="125" t="s">
        <v>14</v>
      </c>
      <c r="S24" s="120"/>
      <c r="T24" s="125" t="str">
        <f t="shared" si="9"/>
        <v>Scr1Col2Row17</v>
      </c>
      <c r="U24" s="161" t="s">
        <v>325</v>
      </c>
      <c r="V24" s="161"/>
      <c r="W24" s="161"/>
      <c r="X24" s="161"/>
      <c r="Y24" s="161"/>
      <c r="Z24" s="161"/>
      <c r="AA24" s="120"/>
      <c r="AB24" s="162">
        <v>0</v>
      </c>
      <c r="AC24" s="163"/>
      <c r="AD24" s="163"/>
      <c r="AE24" s="164"/>
      <c r="AF24" s="120"/>
      <c r="AG24" s="125">
        <v>0</v>
      </c>
      <c r="AH24" s="120"/>
      <c r="AI24" s="120"/>
      <c r="AJ24" s="125" t="s">
        <v>0</v>
      </c>
      <c r="AK24" s="120"/>
      <c r="AL24" s="125" t="str">
        <f t="shared" si="4"/>
        <v>Scr1Col3Row17</v>
      </c>
      <c r="AM24" s="161" t="s">
        <v>349</v>
      </c>
      <c r="AN24" s="161"/>
      <c r="AO24" s="161"/>
      <c r="AP24" s="161"/>
      <c r="AQ24" s="161"/>
      <c r="AR24" s="161"/>
      <c r="AS24" s="120"/>
      <c r="AT24" s="162">
        <v>0</v>
      </c>
      <c r="AU24" s="163"/>
      <c r="AV24" s="163"/>
      <c r="AW24" s="164"/>
      <c r="AX24" s="120"/>
      <c r="AY24" s="125">
        <v>0</v>
      </c>
      <c r="AZ24" s="120"/>
      <c r="BA24" s="120"/>
      <c r="BB24" s="125" t="s">
        <v>0</v>
      </c>
      <c r="BC24" s="120"/>
      <c r="BD24" s="121">
        <f t="shared" si="5"/>
        <v>16</v>
      </c>
      <c r="BE24" s="121">
        <f t="shared" si="6"/>
        <v>16</v>
      </c>
      <c r="BF24" s="121">
        <f t="shared" si="7"/>
        <v>16</v>
      </c>
      <c r="BJ24" s="122" t="str">
        <f t="shared" si="8"/>
        <v>{Scr1Col1Row17, "Scr1 Col1 Row 17", 17, 1, 0, 0, 17, 19,"V"},</v>
      </c>
      <c r="BK24" s="122" t="str">
        <f t="shared" si="1"/>
        <v>{Scr1Col2Row17, "Scr1 Col2 Row 17", 17, 28, 0, 0, 17, 46,"A"},</v>
      </c>
      <c r="BL24" s="122" t="str">
        <f t="shared" si="2"/>
        <v>{Scr1Col3Row17, "Scr1 Col3 Row 17", 17, 55, 0, 0, 17, 73,"A"},</v>
      </c>
      <c r="BM24" s="122"/>
      <c r="BN24" s="122"/>
      <c r="BO24" s="122"/>
      <c r="BP24" s="122"/>
      <c r="BQ24" s="122"/>
      <c r="BR24" s="122"/>
      <c r="BS24" s="122"/>
      <c r="BT24" s="122"/>
      <c r="BU24" s="122"/>
      <c r="BV24" s="122"/>
      <c r="BW24" s="122"/>
      <c r="BX24" s="122"/>
      <c r="BY24" s="122"/>
      <c r="BZ24" s="122"/>
      <c r="CA24" s="122"/>
      <c r="CB24" s="122"/>
      <c r="CC24" s="122"/>
      <c r="CD24" s="122"/>
      <c r="CE24" s="122"/>
      <c r="CF24" s="122"/>
      <c r="CG24" s="122"/>
      <c r="CH24" s="122"/>
      <c r="CI24" s="122"/>
      <c r="CJ24" s="122"/>
      <c r="CK24" s="122"/>
      <c r="CL24" s="122"/>
      <c r="CM24" s="122"/>
      <c r="CN24" s="122"/>
      <c r="CO24" s="122"/>
      <c r="CP24" s="122"/>
      <c r="CQ24" s="122"/>
      <c r="CR24" s="122"/>
      <c r="CS24" s="122"/>
      <c r="CT24" s="122"/>
      <c r="CU24" s="122"/>
      <c r="CV24" s="122"/>
      <c r="CW24" s="122"/>
      <c r="CX24" s="122"/>
      <c r="CY24" s="122"/>
      <c r="CZ24" s="122"/>
    </row>
    <row r="25" spans="1:104" x14ac:dyDescent="0.25">
      <c r="A25" s="119">
        <v>18</v>
      </c>
      <c r="B25" s="126" t="str">
        <f t="shared" si="3"/>
        <v>Scr1Col1Row18</v>
      </c>
      <c r="C25" s="165" t="s">
        <v>302</v>
      </c>
      <c r="D25" s="165"/>
      <c r="E25" s="165"/>
      <c r="F25" s="165"/>
      <c r="G25" s="165"/>
      <c r="H25" s="165"/>
      <c r="I25" s="122"/>
      <c r="J25" s="158">
        <v>0</v>
      </c>
      <c r="K25" s="159"/>
      <c r="L25" s="159"/>
      <c r="M25" s="160"/>
      <c r="N25" s="122"/>
      <c r="O25" s="121">
        <v>0</v>
      </c>
      <c r="P25" s="122"/>
      <c r="Q25" s="122"/>
      <c r="R25" s="121" t="s">
        <v>14</v>
      </c>
      <c r="S25" s="122"/>
      <c r="T25" s="121" t="str">
        <f t="shared" si="9"/>
        <v>Scr1Col2Row18</v>
      </c>
      <c r="U25" s="165" t="s">
        <v>326</v>
      </c>
      <c r="V25" s="165"/>
      <c r="W25" s="165"/>
      <c r="X25" s="165"/>
      <c r="Y25" s="165"/>
      <c r="Z25" s="165"/>
      <c r="AA25" s="122"/>
      <c r="AB25" s="158">
        <v>0</v>
      </c>
      <c r="AC25" s="159"/>
      <c r="AD25" s="159"/>
      <c r="AE25" s="160"/>
      <c r="AF25" s="122"/>
      <c r="AG25" s="121">
        <v>1</v>
      </c>
      <c r="AH25" s="122"/>
      <c r="AI25" s="122"/>
      <c r="AJ25" s="121" t="s">
        <v>14</v>
      </c>
      <c r="AK25" s="122"/>
      <c r="AL25" s="121" t="str">
        <f t="shared" si="4"/>
        <v>Scr1Col3Row18</v>
      </c>
      <c r="AM25" s="165" t="s">
        <v>350</v>
      </c>
      <c r="AN25" s="165"/>
      <c r="AO25" s="165"/>
      <c r="AP25" s="165"/>
      <c r="AQ25" s="165"/>
      <c r="AR25" s="165"/>
      <c r="AS25" s="122"/>
      <c r="AT25" s="158">
        <v>0</v>
      </c>
      <c r="AU25" s="159"/>
      <c r="AV25" s="159"/>
      <c r="AW25" s="160"/>
      <c r="AX25" s="122"/>
      <c r="AY25" s="121">
        <v>0</v>
      </c>
      <c r="AZ25" s="122"/>
      <c r="BA25" s="122"/>
      <c r="BB25" s="121" t="s">
        <v>0</v>
      </c>
      <c r="BC25" s="122"/>
      <c r="BD25" s="121">
        <f t="shared" si="5"/>
        <v>16</v>
      </c>
      <c r="BE25" s="121">
        <f t="shared" si="6"/>
        <v>16</v>
      </c>
      <c r="BF25" s="121">
        <f t="shared" si="7"/>
        <v>16</v>
      </c>
      <c r="BJ25" s="122" t="str">
        <f t="shared" si="8"/>
        <v>{Scr1Col1Row18, "Scr1 Col1 Row 18", 18, 1, 0, 0, 18, 19,"V"},</v>
      </c>
      <c r="BK25" s="122" t="str">
        <f t="shared" si="1"/>
        <v>{Scr1Col2Row18, "Scr1 Col2 Row 18", 18, 28, 0, 1, 18, 46,"V"},</v>
      </c>
      <c r="BL25" s="122" t="str">
        <f t="shared" si="2"/>
        <v>{Scr1Col3Row18, "Scr1 Col3 Row 18", 18, 55, 0, 0, 18, 73,"A"},</v>
      </c>
      <c r="BM25" s="122"/>
      <c r="BN25" s="122"/>
      <c r="BO25" s="122"/>
      <c r="BP25" s="122"/>
      <c r="BQ25" s="122"/>
      <c r="BR25" s="122"/>
      <c r="BS25" s="122"/>
      <c r="BT25" s="122"/>
      <c r="BU25" s="122"/>
      <c r="BV25" s="122"/>
      <c r="BW25" s="122"/>
      <c r="BX25" s="122"/>
      <c r="BY25" s="122"/>
      <c r="BZ25" s="122"/>
      <c r="CA25" s="122"/>
      <c r="CB25" s="122"/>
      <c r="CC25" s="122"/>
      <c r="CD25" s="122"/>
      <c r="CE25" s="122"/>
      <c r="CF25" s="122"/>
      <c r="CG25" s="122"/>
      <c r="CH25" s="122"/>
      <c r="CI25" s="122"/>
      <c r="CJ25" s="122"/>
      <c r="CK25" s="122"/>
      <c r="CL25" s="122"/>
      <c r="CM25" s="122"/>
      <c r="CN25" s="122"/>
      <c r="CO25" s="122"/>
      <c r="CP25" s="122"/>
      <c r="CQ25" s="122"/>
      <c r="CR25" s="122"/>
      <c r="CS25" s="122"/>
      <c r="CT25" s="122"/>
      <c r="CU25" s="122"/>
      <c r="CV25" s="122"/>
      <c r="CW25" s="122"/>
      <c r="CX25" s="122"/>
      <c r="CY25" s="122"/>
      <c r="CZ25" s="122"/>
    </row>
    <row r="26" spans="1:104" x14ac:dyDescent="0.25">
      <c r="A26" s="119">
        <v>19</v>
      </c>
      <c r="B26" s="126" t="str">
        <f t="shared" si="3"/>
        <v>Scr1Col1Row19</v>
      </c>
      <c r="C26" s="165" t="s">
        <v>303</v>
      </c>
      <c r="D26" s="165"/>
      <c r="E26" s="165"/>
      <c r="F26" s="165"/>
      <c r="G26" s="165"/>
      <c r="H26" s="165"/>
      <c r="I26" s="122"/>
      <c r="J26" s="158">
        <v>0</v>
      </c>
      <c r="K26" s="159"/>
      <c r="L26" s="159"/>
      <c r="M26" s="160"/>
      <c r="N26" s="122"/>
      <c r="O26" s="121">
        <v>0</v>
      </c>
      <c r="P26" s="122"/>
      <c r="Q26" s="122"/>
      <c r="R26" s="121" t="s">
        <v>14</v>
      </c>
      <c r="S26" s="122"/>
      <c r="T26" s="121" t="str">
        <f t="shared" si="9"/>
        <v>Scr1Col2Row19</v>
      </c>
      <c r="U26" s="165" t="s">
        <v>327</v>
      </c>
      <c r="V26" s="165"/>
      <c r="W26" s="165"/>
      <c r="X26" s="165"/>
      <c r="Y26" s="165"/>
      <c r="Z26" s="165"/>
      <c r="AA26" s="122"/>
      <c r="AB26" s="158">
        <v>0</v>
      </c>
      <c r="AC26" s="159"/>
      <c r="AD26" s="159"/>
      <c r="AE26" s="160"/>
      <c r="AF26" s="122"/>
      <c r="AG26" s="121">
        <v>1</v>
      </c>
      <c r="AH26" s="122"/>
      <c r="AI26" s="122"/>
      <c r="AJ26" s="121" t="s">
        <v>14</v>
      </c>
      <c r="AK26" s="122"/>
      <c r="AL26" s="121" t="str">
        <f t="shared" si="4"/>
        <v>Scr1Col3Row19</v>
      </c>
      <c r="AM26" s="165" t="s">
        <v>351</v>
      </c>
      <c r="AN26" s="165"/>
      <c r="AO26" s="165"/>
      <c r="AP26" s="165"/>
      <c r="AQ26" s="165"/>
      <c r="AR26" s="165"/>
      <c r="AS26" s="122"/>
      <c r="AT26" s="158">
        <v>0</v>
      </c>
      <c r="AU26" s="159"/>
      <c r="AV26" s="159"/>
      <c r="AW26" s="160"/>
      <c r="AX26" s="122"/>
      <c r="AY26" s="121">
        <v>0</v>
      </c>
      <c r="AZ26" s="122"/>
      <c r="BA26" s="122"/>
      <c r="BB26" s="121" t="s">
        <v>0</v>
      </c>
      <c r="BC26" s="122"/>
      <c r="BD26" s="121">
        <f t="shared" si="5"/>
        <v>16</v>
      </c>
      <c r="BE26" s="121">
        <f t="shared" si="6"/>
        <v>16</v>
      </c>
      <c r="BF26" s="121">
        <f t="shared" si="7"/>
        <v>16</v>
      </c>
      <c r="BJ26" s="122" t="str">
        <f t="shared" si="8"/>
        <v>{Scr1Col1Row19, "Scr1 Col1 Row 19", 19, 1, 0, 0, 19, 19,"V"},</v>
      </c>
      <c r="BK26" s="122" t="str">
        <f t="shared" si="1"/>
        <v>{Scr1Col2Row19, "Scr1 Col2 Row 19", 19, 28, 0, 1, 19, 46,"V"},</v>
      </c>
      <c r="BL26" s="122" t="str">
        <f t="shared" si="2"/>
        <v>{Scr1Col3Row19, "Scr1 Col3 Row 19", 19, 55, 0, 0, 19, 73,"A"},</v>
      </c>
      <c r="BM26" s="122"/>
      <c r="BN26" s="122"/>
      <c r="BO26" s="122"/>
      <c r="BP26" s="122"/>
      <c r="BQ26" s="122"/>
      <c r="BR26" s="122"/>
      <c r="BS26" s="122"/>
      <c r="BT26" s="122"/>
      <c r="BU26" s="122"/>
      <c r="BV26" s="122"/>
      <c r="BW26" s="122"/>
      <c r="BX26" s="122"/>
      <c r="BY26" s="122"/>
      <c r="BZ26" s="122"/>
      <c r="CA26" s="122"/>
      <c r="CB26" s="122"/>
      <c r="CC26" s="122"/>
      <c r="CD26" s="122"/>
      <c r="CE26" s="122"/>
      <c r="CF26" s="122"/>
      <c r="CG26" s="122"/>
      <c r="CH26" s="122"/>
      <c r="CI26" s="122"/>
      <c r="CJ26" s="122"/>
      <c r="CK26" s="122"/>
      <c r="CL26" s="122"/>
      <c r="CM26" s="122"/>
      <c r="CN26" s="122"/>
      <c r="CO26" s="122"/>
      <c r="CP26" s="122"/>
      <c r="CQ26" s="122"/>
      <c r="CR26" s="122"/>
      <c r="CS26" s="122"/>
      <c r="CT26" s="122"/>
      <c r="CU26" s="122"/>
      <c r="CV26" s="122"/>
      <c r="CW26" s="122"/>
      <c r="CX26" s="122"/>
      <c r="CY26" s="122"/>
      <c r="CZ26" s="122"/>
    </row>
    <row r="27" spans="1:104" x14ac:dyDescent="0.25">
      <c r="A27" s="119">
        <v>20</v>
      </c>
      <c r="B27" s="126" t="str">
        <f t="shared" si="3"/>
        <v>Scr1Col1Row20</v>
      </c>
      <c r="C27" s="165" t="s">
        <v>304</v>
      </c>
      <c r="D27" s="165"/>
      <c r="E27" s="165"/>
      <c r="F27" s="165"/>
      <c r="G27" s="165"/>
      <c r="H27" s="165"/>
      <c r="I27" s="122"/>
      <c r="J27" s="158">
        <v>0</v>
      </c>
      <c r="K27" s="159"/>
      <c r="L27" s="159"/>
      <c r="M27" s="160"/>
      <c r="N27" s="122"/>
      <c r="O27" s="121">
        <v>0</v>
      </c>
      <c r="P27" s="122"/>
      <c r="Q27" s="122"/>
      <c r="R27" s="121" t="s">
        <v>14</v>
      </c>
      <c r="S27" s="122"/>
      <c r="T27" s="121" t="str">
        <f t="shared" si="9"/>
        <v>Scr1Col2Row20</v>
      </c>
      <c r="U27" s="165" t="s">
        <v>328</v>
      </c>
      <c r="V27" s="165"/>
      <c r="W27" s="165"/>
      <c r="X27" s="165"/>
      <c r="Y27" s="165"/>
      <c r="Z27" s="165"/>
      <c r="AA27" s="122"/>
      <c r="AB27" s="158">
        <v>0</v>
      </c>
      <c r="AC27" s="159"/>
      <c r="AD27" s="159"/>
      <c r="AE27" s="160"/>
      <c r="AF27" s="122"/>
      <c r="AG27" s="121">
        <v>1</v>
      </c>
      <c r="AH27" s="122"/>
      <c r="AI27" s="122"/>
      <c r="AJ27" s="121" t="s">
        <v>14</v>
      </c>
      <c r="AK27" s="122"/>
      <c r="AL27" s="121" t="str">
        <f t="shared" si="4"/>
        <v>Scr1Col3Row20</v>
      </c>
      <c r="AM27" s="165" t="s">
        <v>352</v>
      </c>
      <c r="AN27" s="165"/>
      <c r="AO27" s="165"/>
      <c r="AP27" s="165"/>
      <c r="AQ27" s="165"/>
      <c r="AR27" s="165"/>
      <c r="AS27" s="122"/>
      <c r="AT27" s="158">
        <v>0</v>
      </c>
      <c r="AU27" s="159"/>
      <c r="AV27" s="159"/>
      <c r="AW27" s="160"/>
      <c r="AX27" s="122"/>
      <c r="AY27" s="121">
        <v>0</v>
      </c>
      <c r="AZ27" s="122"/>
      <c r="BA27" s="122"/>
      <c r="BB27" s="121" t="s">
        <v>0</v>
      </c>
      <c r="BC27" s="122"/>
      <c r="BD27" s="121">
        <f t="shared" si="5"/>
        <v>16</v>
      </c>
      <c r="BE27" s="121">
        <f t="shared" si="6"/>
        <v>16</v>
      </c>
      <c r="BF27" s="121">
        <f t="shared" si="7"/>
        <v>16</v>
      </c>
      <c r="BJ27" s="122" t="str">
        <f t="shared" si="8"/>
        <v>{Scr1Col1Row20, "Scr1 Col1 Row 20", 20, 1, 0, 0, 20, 19,"V"},</v>
      </c>
      <c r="BK27" s="122" t="str">
        <f t="shared" si="1"/>
        <v>{Scr1Col2Row20, "Scr1 Col2 Row 20", 20, 28, 0, 1, 20, 46,"V"},</v>
      </c>
      <c r="BL27" s="122" t="str">
        <f t="shared" si="2"/>
        <v>{Scr1Col3Row20, "Scr1 Col3 Row 20", 20, 55, 0, 0, 20, 73,"A"},</v>
      </c>
      <c r="BM27" s="122"/>
      <c r="BN27" s="122"/>
      <c r="BO27" s="122"/>
      <c r="BP27" s="122"/>
      <c r="BQ27" s="122"/>
      <c r="BR27" s="122"/>
      <c r="BS27" s="122"/>
      <c r="BT27" s="122"/>
      <c r="BU27" s="122"/>
      <c r="BV27" s="122"/>
      <c r="BW27" s="122"/>
      <c r="BX27" s="122"/>
      <c r="BY27" s="122"/>
      <c r="BZ27" s="122"/>
      <c r="CA27" s="122"/>
      <c r="CB27" s="122"/>
      <c r="CC27" s="122"/>
      <c r="CD27" s="122"/>
      <c r="CE27" s="122"/>
      <c r="CF27" s="122"/>
      <c r="CG27" s="122"/>
      <c r="CH27" s="122"/>
      <c r="CI27" s="122"/>
      <c r="CJ27" s="122"/>
      <c r="CK27" s="122"/>
      <c r="CL27" s="122"/>
      <c r="CM27" s="122"/>
      <c r="CN27" s="122"/>
      <c r="CO27" s="122"/>
      <c r="CP27" s="122"/>
      <c r="CQ27" s="122"/>
      <c r="CR27" s="122"/>
      <c r="CS27" s="122"/>
      <c r="CT27" s="122"/>
      <c r="CU27" s="122"/>
      <c r="CV27" s="122"/>
      <c r="CW27" s="122"/>
      <c r="CX27" s="122"/>
      <c r="CY27" s="122"/>
      <c r="CZ27" s="122"/>
    </row>
    <row r="28" spans="1:104" x14ac:dyDescent="0.25">
      <c r="A28" s="119">
        <v>21</v>
      </c>
      <c r="B28" s="126" t="str">
        <f t="shared" si="3"/>
        <v>Scr1Col1Row21</v>
      </c>
      <c r="C28" s="165" t="s">
        <v>305</v>
      </c>
      <c r="D28" s="165"/>
      <c r="E28" s="165"/>
      <c r="F28" s="165"/>
      <c r="G28" s="165"/>
      <c r="H28" s="165"/>
      <c r="I28" s="122"/>
      <c r="J28" s="158">
        <v>0</v>
      </c>
      <c r="K28" s="159"/>
      <c r="L28" s="159"/>
      <c r="M28" s="160"/>
      <c r="N28" s="122"/>
      <c r="O28" s="121">
        <v>0</v>
      </c>
      <c r="P28" s="122"/>
      <c r="Q28" s="122"/>
      <c r="R28" s="121" t="s">
        <v>14</v>
      </c>
      <c r="S28" s="122"/>
      <c r="T28" s="121" t="str">
        <f t="shared" si="9"/>
        <v>Scr1Col2Row21</v>
      </c>
      <c r="U28" s="165" t="s">
        <v>329</v>
      </c>
      <c r="V28" s="165"/>
      <c r="W28" s="165"/>
      <c r="X28" s="165"/>
      <c r="Y28" s="165"/>
      <c r="Z28" s="165"/>
      <c r="AA28" s="122"/>
      <c r="AB28" s="158">
        <v>0</v>
      </c>
      <c r="AC28" s="159"/>
      <c r="AD28" s="159"/>
      <c r="AE28" s="160"/>
      <c r="AF28" s="122"/>
      <c r="AG28" s="121">
        <v>0</v>
      </c>
      <c r="AH28" s="122"/>
      <c r="AI28" s="122"/>
      <c r="AJ28" s="121" t="s">
        <v>14</v>
      </c>
      <c r="AK28" s="122"/>
      <c r="AL28" s="121" t="str">
        <f t="shared" si="4"/>
        <v>Scr1Col3Row21</v>
      </c>
      <c r="AM28" s="165" t="s">
        <v>353</v>
      </c>
      <c r="AN28" s="165"/>
      <c r="AO28" s="165"/>
      <c r="AP28" s="165"/>
      <c r="AQ28" s="165"/>
      <c r="AR28" s="165"/>
      <c r="AS28" s="122"/>
      <c r="AT28" s="158">
        <v>0</v>
      </c>
      <c r="AU28" s="159"/>
      <c r="AV28" s="159"/>
      <c r="AW28" s="160"/>
      <c r="AX28" s="122"/>
      <c r="AY28" s="121">
        <v>0</v>
      </c>
      <c r="AZ28" s="122"/>
      <c r="BA28" s="122"/>
      <c r="BB28" s="121" t="s">
        <v>0</v>
      </c>
      <c r="BC28" s="122"/>
      <c r="BD28" s="121">
        <f t="shared" si="5"/>
        <v>16</v>
      </c>
      <c r="BE28" s="121">
        <f t="shared" si="6"/>
        <v>16</v>
      </c>
      <c r="BF28" s="121">
        <f t="shared" si="7"/>
        <v>16</v>
      </c>
      <c r="BJ28" s="122" t="str">
        <f t="shared" si="8"/>
        <v>{Scr1Col1Row21, "Scr1 Col1 Row 21", 21, 1, 0, 0, 21, 19,"V"},</v>
      </c>
      <c r="BK28" s="122" t="str">
        <f t="shared" si="1"/>
        <v>{Scr1Col2Row21, "Scr1 Col2 Row 21", 21, 28, 0, 0, 21, 46,"V"},</v>
      </c>
      <c r="BL28" s="122" t="str">
        <f t="shared" si="2"/>
        <v>{Scr1Col3Row21, "Scr1 Col3 Row 21", 21, 55, 0, 0, 21, 73,"A"},</v>
      </c>
      <c r="BM28" s="122"/>
      <c r="BN28" s="122"/>
      <c r="BO28" s="122"/>
      <c r="BP28" s="122"/>
      <c r="BQ28" s="122"/>
      <c r="BR28" s="122"/>
      <c r="BS28" s="122"/>
      <c r="BT28" s="122"/>
      <c r="BU28" s="122"/>
      <c r="BV28" s="122"/>
      <c r="BW28" s="122"/>
      <c r="BX28" s="122"/>
      <c r="BY28" s="122"/>
      <c r="BZ28" s="122"/>
      <c r="CA28" s="122"/>
      <c r="CB28" s="122"/>
      <c r="CC28" s="122"/>
      <c r="CD28" s="122"/>
      <c r="CE28" s="122"/>
      <c r="CF28" s="122"/>
      <c r="CG28" s="122"/>
      <c r="CH28" s="122"/>
      <c r="CI28" s="122"/>
      <c r="CJ28" s="122"/>
      <c r="CK28" s="122"/>
      <c r="CL28" s="122"/>
      <c r="CM28" s="122"/>
      <c r="CN28" s="122"/>
      <c r="CO28" s="122"/>
      <c r="CP28" s="122"/>
      <c r="CQ28" s="122"/>
      <c r="CR28" s="122"/>
      <c r="CS28" s="122"/>
      <c r="CT28" s="122"/>
      <c r="CU28" s="122"/>
      <c r="CV28" s="122"/>
      <c r="CW28" s="122"/>
      <c r="CX28" s="122"/>
      <c r="CY28" s="122"/>
      <c r="CZ28" s="122"/>
    </row>
    <row r="29" spans="1:104" x14ac:dyDescent="0.25">
      <c r="A29" s="119">
        <v>22</v>
      </c>
      <c r="B29" s="126" t="str">
        <f t="shared" si="3"/>
        <v>Scr1Col1Row22</v>
      </c>
      <c r="C29" s="165" t="s">
        <v>306</v>
      </c>
      <c r="D29" s="165"/>
      <c r="E29" s="165"/>
      <c r="F29" s="165"/>
      <c r="G29" s="165"/>
      <c r="H29" s="165"/>
      <c r="I29" s="122"/>
      <c r="J29" s="158">
        <v>0</v>
      </c>
      <c r="K29" s="159"/>
      <c r="L29" s="159"/>
      <c r="M29" s="160"/>
      <c r="N29" s="122"/>
      <c r="O29" s="121">
        <v>0</v>
      </c>
      <c r="P29" s="122"/>
      <c r="Q29" s="122"/>
      <c r="R29" s="121" t="s">
        <v>14</v>
      </c>
      <c r="S29" s="122"/>
      <c r="T29" s="121" t="str">
        <f t="shared" si="9"/>
        <v>Scr1Col2Row22</v>
      </c>
      <c r="U29" s="165" t="s">
        <v>330</v>
      </c>
      <c r="V29" s="165"/>
      <c r="W29" s="165"/>
      <c r="X29" s="165"/>
      <c r="Y29" s="165"/>
      <c r="Z29" s="165"/>
      <c r="AA29" s="122"/>
      <c r="AB29" s="158">
        <v>0</v>
      </c>
      <c r="AC29" s="159"/>
      <c r="AD29" s="159"/>
      <c r="AE29" s="160"/>
      <c r="AF29" s="122"/>
      <c r="AG29" s="121">
        <v>0</v>
      </c>
      <c r="AH29" s="122"/>
      <c r="AI29" s="122"/>
      <c r="AJ29" s="121" t="s">
        <v>14</v>
      </c>
      <c r="AK29" s="122"/>
      <c r="AL29" s="121" t="str">
        <f t="shared" si="4"/>
        <v>Scr1Col3Row22</v>
      </c>
      <c r="AM29" s="165" t="s">
        <v>354</v>
      </c>
      <c r="AN29" s="165"/>
      <c r="AO29" s="165"/>
      <c r="AP29" s="165"/>
      <c r="AQ29" s="165"/>
      <c r="AR29" s="165"/>
      <c r="AS29" s="122"/>
      <c r="AT29" s="158">
        <v>0</v>
      </c>
      <c r="AU29" s="159"/>
      <c r="AV29" s="159"/>
      <c r="AW29" s="160"/>
      <c r="AX29" s="122"/>
      <c r="AY29" s="121">
        <v>1</v>
      </c>
      <c r="AZ29" s="122"/>
      <c r="BA29" s="122"/>
      <c r="BB29" s="121" t="s">
        <v>14</v>
      </c>
      <c r="BC29" s="122"/>
      <c r="BD29" s="121">
        <f t="shared" si="5"/>
        <v>16</v>
      </c>
      <c r="BE29" s="121">
        <f t="shared" si="6"/>
        <v>16</v>
      </c>
      <c r="BF29" s="121">
        <f t="shared" si="7"/>
        <v>16</v>
      </c>
      <c r="BJ29" s="122" t="str">
        <f t="shared" si="8"/>
        <v>{Scr1Col1Row22, "Scr1 Col1 Row 22", 22, 1, 0, 0, 22, 19,"V"},</v>
      </c>
      <c r="BK29" s="122" t="str">
        <f t="shared" si="1"/>
        <v>{Scr1Col2Row22, "Scr1 Col2 Row 22", 22, 28, 0, 0, 22, 46,"V"},</v>
      </c>
      <c r="BL29" s="122" t="str">
        <f t="shared" si="2"/>
        <v>{Scr1Col3Row22, "Scr1 Col3 Row 22", 22, 55, 0, 1, 22, 73,"V"},</v>
      </c>
      <c r="BM29" s="122"/>
      <c r="BN29" s="122"/>
      <c r="BO29" s="122"/>
      <c r="BP29" s="122"/>
      <c r="BQ29" s="122"/>
      <c r="BR29" s="122"/>
      <c r="BS29" s="122"/>
      <c r="BT29" s="122"/>
      <c r="BU29" s="122"/>
      <c r="BV29" s="122"/>
      <c r="BW29" s="122"/>
      <c r="BX29" s="122"/>
      <c r="BY29" s="122"/>
      <c r="BZ29" s="122"/>
      <c r="CA29" s="122"/>
      <c r="CB29" s="122"/>
      <c r="CC29" s="122"/>
      <c r="CD29" s="122"/>
      <c r="CE29" s="122"/>
      <c r="CF29" s="122"/>
      <c r="CG29" s="122"/>
      <c r="CH29" s="122"/>
      <c r="CI29" s="122"/>
      <c r="CJ29" s="122"/>
      <c r="CK29" s="122"/>
      <c r="CL29" s="122"/>
      <c r="CM29" s="122"/>
      <c r="CN29" s="122"/>
      <c r="CO29" s="122"/>
      <c r="CP29" s="122"/>
      <c r="CQ29" s="122"/>
      <c r="CR29" s="122"/>
      <c r="CS29" s="122"/>
      <c r="CT29" s="122"/>
      <c r="CU29" s="122"/>
      <c r="CV29" s="122"/>
      <c r="CW29" s="122"/>
      <c r="CX29" s="122"/>
      <c r="CY29" s="122"/>
      <c r="CZ29" s="122"/>
    </row>
    <row r="30" spans="1:104" x14ac:dyDescent="0.25">
      <c r="A30" s="119">
        <v>23</v>
      </c>
      <c r="B30" s="126" t="str">
        <f t="shared" si="3"/>
        <v>Scr1Col1Row23</v>
      </c>
      <c r="C30" s="165" t="s">
        <v>307</v>
      </c>
      <c r="D30" s="165"/>
      <c r="E30" s="165"/>
      <c r="F30" s="165"/>
      <c r="G30" s="165"/>
      <c r="H30" s="165"/>
      <c r="I30" s="122"/>
      <c r="J30" s="158">
        <v>0</v>
      </c>
      <c r="K30" s="159"/>
      <c r="L30" s="159"/>
      <c r="M30" s="160"/>
      <c r="N30" s="122"/>
      <c r="O30" s="121">
        <v>0</v>
      </c>
      <c r="P30" s="122"/>
      <c r="Q30" s="122"/>
      <c r="R30" s="121" t="s">
        <v>14</v>
      </c>
      <c r="S30" s="122"/>
      <c r="T30" s="121" t="str">
        <f t="shared" si="9"/>
        <v>Scr1Col2Row23</v>
      </c>
      <c r="U30" s="165" t="s">
        <v>331</v>
      </c>
      <c r="V30" s="165"/>
      <c r="W30" s="165"/>
      <c r="X30" s="165"/>
      <c r="Y30" s="165"/>
      <c r="Z30" s="165"/>
      <c r="AA30" s="122"/>
      <c r="AB30" s="158">
        <v>0</v>
      </c>
      <c r="AC30" s="159"/>
      <c r="AD30" s="159"/>
      <c r="AE30" s="160"/>
      <c r="AF30" s="122"/>
      <c r="AG30" s="121">
        <v>0</v>
      </c>
      <c r="AH30" s="122"/>
      <c r="AI30" s="122"/>
      <c r="AJ30" s="121" t="s">
        <v>14</v>
      </c>
      <c r="AK30" s="122"/>
      <c r="AL30" s="121" t="str">
        <f t="shared" si="4"/>
        <v>Scr1Col3Row23</v>
      </c>
      <c r="AM30" s="165" t="s">
        <v>355</v>
      </c>
      <c r="AN30" s="165"/>
      <c r="AO30" s="165"/>
      <c r="AP30" s="165"/>
      <c r="AQ30" s="165"/>
      <c r="AR30" s="165"/>
      <c r="AS30" s="122"/>
      <c r="AT30" s="158">
        <v>0</v>
      </c>
      <c r="AU30" s="159"/>
      <c r="AV30" s="159"/>
      <c r="AW30" s="160"/>
      <c r="AX30" s="122"/>
      <c r="AY30" s="121">
        <v>1</v>
      </c>
      <c r="AZ30" s="122"/>
      <c r="BA30" s="122"/>
      <c r="BB30" s="121" t="s">
        <v>14</v>
      </c>
      <c r="BC30" s="122"/>
      <c r="BD30" s="121">
        <f t="shared" si="5"/>
        <v>16</v>
      </c>
      <c r="BE30" s="121">
        <f t="shared" si="6"/>
        <v>16</v>
      </c>
      <c r="BF30" s="121">
        <f t="shared" si="7"/>
        <v>16</v>
      </c>
      <c r="BJ30" s="122" t="str">
        <f t="shared" si="8"/>
        <v>{Scr1Col1Row23, "Scr1 Col1 Row 23", 23, 1, 0, 0, 23, 19,"V"},</v>
      </c>
      <c r="BK30" s="122" t="str">
        <f t="shared" si="1"/>
        <v>{Scr1Col2Row23, "Scr1 Col2 Row 23", 23, 28, 0, 0, 23, 46,"V"},</v>
      </c>
      <c r="BL30" s="122" t="str">
        <f t="shared" si="2"/>
        <v>{Scr1Col3Row23, "Scr1 Col3 Row 23", 23, 55, 0, 1, 23, 73,"V"},</v>
      </c>
      <c r="BM30" s="122"/>
      <c r="BN30" s="122"/>
      <c r="BO30" s="122"/>
      <c r="BP30" s="122"/>
      <c r="BQ30" s="122"/>
      <c r="BR30" s="122"/>
      <c r="BS30" s="122"/>
      <c r="BT30" s="122"/>
      <c r="BU30" s="122"/>
      <c r="BV30" s="122"/>
      <c r="BW30" s="122"/>
      <c r="BX30" s="122"/>
      <c r="BY30" s="122"/>
      <c r="BZ30" s="122"/>
      <c r="CA30" s="122"/>
      <c r="CB30" s="122"/>
      <c r="CC30" s="122"/>
      <c r="CD30" s="122"/>
      <c r="CE30" s="122"/>
      <c r="CF30" s="122"/>
      <c r="CG30" s="122"/>
      <c r="CH30" s="122"/>
      <c r="CI30" s="122"/>
      <c r="CJ30" s="122"/>
      <c r="CK30" s="122"/>
      <c r="CL30" s="122"/>
      <c r="CM30" s="122"/>
      <c r="CN30" s="122"/>
      <c r="CO30" s="122"/>
      <c r="CP30" s="122"/>
      <c r="CQ30" s="122"/>
      <c r="CR30" s="122"/>
      <c r="CS30" s="122"/>
      <c r="CT30" s="122"/>
      <c r="CU30" s="122"/>
      <c r="CV30" s="122"/>
      <c r="CW30" s="122"/>
      <c r="CX30" s="122"/>
      <c r="CY30" s="122"/>
      <c r="CZ30" s="122"/>
    </row>
    <row r="31" spans="1:104" ht="15.75" thickBot="1" x14ac:dyDescent="0.3">
      <c r="A31" s="119">
        <v>24</v>
      </c>
      <c r="B31" s="127" t="str">
        <f>SUBSTITUTE(PROPER(C31)," ","")</f>
        <v>Scr1Col1Row24</v>
      </c>
      <c r="C31" s="169" t="s">
        <v>308</v>
      </c>
      <c r="D31" s="169"/>
      <c r="E31" s="169"/>
      <c r="F31" s="169"/>
      <c r="G31" s="169"/>
      <c r="H31" s="169"/>
      <c r="I31" s="123"/>
      <c r="J31" s="166">
        <v>0</v>
      </c>
      <c r="K31" s="167"/>
      <c r="L31" s="167"/>
      <c r="M31" s="168"/>
      <c r="N31" s="123"/>
      <c r="O31" s="128">
        <v>0</v>
      </c>
      <c r="P31" s="123"/>
      <c r="Q31" s="123"/>
      <c r="R31" s="128" t="s">
        <v>14</v>
      </c>
      <c r="S31" s="123"/>
      <c r="T31" s="128" t="str">
        <f t="shared" si="9"/>
        <v>Scr1Col2Row24</v>
      </c>
      <c r="U31" s="169" t="s">
        <v>332</v>
      </c>
      <c r="V31" s="169"/>
      <c r="W31" s="169"/>
      <c r="X31" s="169"/>
      <c r="Y31" s="169"/>
      <c r="Z31" s="169"/>
      <c r="AA31" s="123"/>
      <c r="AB31" s="166">
        <v>0</v>
      </c>
      <c r="AC31" s="167"/>
      <c r="AD31" s="167"/>
      <c r="AE31" s="168"/>
      <c r="AF31" s="123"/>
      <c r="AG31" s="128">
        <v>1</v>
      </c>
      <c r="AH31" s="123"/>
      <c r="AI31" s="123"/>
      <c r="AJ31" s="128" t="s">
        <v>14</v>
      </c>
      <c r="AK31" s="123"/>
      <c r="AL31" s="128" t="str">
        <f t="shared" si="4"/>
        <v>Scr1Col3Row24</v>
      </c>
      <c r="AM31" s="169" t="s">
        <v>356</v>
      </c>
      <c r="AN31" s="169"/>
      <c r="AO31" s="169"/>
      <c r="AP31" s="169"/>
      <c r="AQ31" s="169"/>
      <c r="AR31" s="169"/>
      <c r="AS31" s="123"/>
      <c r="AT31" s="166">
        <v>0</v>
      </c>
      <c r="AU31" s="167"/>
      <c r="AV31" s="167"/>
      <c r="AW31" s="168"/>
      <c r="AX31" s="123"/>
      <c r="AY31" s="128">
        <v>0</v>
      </c>
      <c r="AZ31" s="123"/>
      <c r="BA31" s="123"/>
      <c r="BB31" s="128" t="s">
        <v>0</v>
      </c>
      <c r="BC31" s="123"/>
      <c r="BD31" s="121">
        <f t="shared" si="5"/>
        <v>16</v>
      </c>
      <c r="BE31" s="121">
        <f t="shared" si="6"/>
        <v>16</v>
      </c>
      <c r="BF31" s="121">
        <f t="shared" si="7"/>
        <v>16</v>
      </c>
      <c r="BJ31" s="122" t="str">
        <f t="shared" si="8"/>
        <v>{Scr1Col1Row24, "Scr1 Col1 Row 24", 24, 1, 0, 0, 24, 19,"V"},</v>
      </c>
      <c r="BK31" s="122" t="str">
        <f t="shared" si="1"/>
        <v>{Scr1Col2Row24, "Scr1 Col2 Row 24", 24, 28, 0, 1, 24, 46,"V"},</v>
      </c>
      <c r="BL31" s="122" t="str">
        <f t="shared" si="2"/>
        <v>{Scr1Col3Row24, "Scr1 Col3 Row 24", 24, 55, 0, 0, 24, 73,"A"},</v>
      </c>
      <c r="BM31" s="122"/>
      <c r="BN31" s="122"/>
      <c r="BO31" s="122"/>
      <c r="BP31" s="122"/>
      <c r="BQ31" s="122"/>
      <c r="BR31" s="122"/>
      <c r="BS31" s="122"/>
      <c r="BT31" s="122"/>
      <c r="BU31" s="122"/>
      <c r="BV31" s="122"/>
      <c r="BW31" s="122"/>
      <c r="BX31" s="122"/>
      <c r="BY31" s="122"/>
      <c r="BZ31" s="122"/>
      <c r="CA31" s="122"/>
      <c r="CB31" s="122"/>
      <c r="CC31" s="122"/>
      <c r="CD31" s="122"/>
      <c r="CE31" s="122"/>
      <c r="CF31" s="122"/>
      <c r="CG31" s="122"/>
      <c r="CH31" s="122"/>
      <c r="CI31" s="122"/>
      <c r="CJ31" s="122"/>
      <c r="CK31" s="122"/>
      <c r="CL31" s="122"/>
      <c r="CM31" s="122"/>
      <c r="CN31" s="122"/>
      <c r="CO31" s="122"/>
      <c r="CP31" s="122"/>
      <c r="CQ31" s="122"/>
      <c r="CR31" s="122"/>
      <c r="CS31" s="122"/>
      <c r="CT31" s="122"/>
      <c r="CU31" s="122"/>
      <c r="CV31" s="122"/>
      <c r="CW31" s="122"/>
      <c r="CX31" s="122"/>
      <c r="CY31" s="122"/>
      <c r="CZ31" s="122"/>
    </row>
    <row r="32" spans="1:104" x14ac:dyDescent="0.25">
      <c r="A32" s="119">
        <v>25</v>
      </c>
      <c r="C32" s="170" t="s">
        <v>16</v>
      </c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  <c r="AE32" s="171"/>
      <c r="AF32" s="171"/>
      <c r="AG32" s="171"/>
      <c r="AH32" s="171"/>
      <c r="AI32" s="171"/>
      <c r="AJ32" s="171"/>
      <c r="AK32" s="171"/>
      <c r="AL32" s="171"/>
      <c r="AM32" s="171"/>
      <c r="AN32" s="171"/>
      <c r="AO32" s="171"/>
      <c r="AP32" s="171"/>
      <c r="AQ32" s="171"/>
      <c r="AR32" s="171"/>
      <c r="AS32" s="171"/>
      <c r="AT32" s="171"/>
      <c r="AU32" s="171"/>
      <c r="AV32" s="171"/>
      <c r="AW32" s="171"/>
      <c r="AX32" s="171"/>
      <c r="AY32" s="171"/>
      <c r="AZ32" s="171"/>
      <c r="BA32" s="171"/>
      <c r="BB32" s="171"/>
      <c r="BC32" s="171"/>
      <c r="BD32" s="172"/>
    </row>
    <row r="33" spans="36:118" x14ac:dyDescent="0.25">
      <c r="AJ33" s="122"/>
      <c r="DN33" s="119">
        <v>0</v>
      </c>
    </row>
    <row r="36" spans="36:118" x14ac:dyDescent="0.25">
      <c r="BJ36" s="119" t="s">
        <v>164</v>
      </c>
    </row>
    <row r="37" spans="36:118" x14ac:dyDescent="0.25">
      <c r="BJ37" s="134" t="str">
        <f>$B$8&amp;", "&amp;$T$8&amp;", "&amp;$AL$8&amp;", "&amp;$B$9&amp;", "&amp;$T$9&amp;", "&amp;$AL$9&amp;", "&amp;$B$10&amp;", "&amp;$T$10&amp;", "&amp;$AL$10&amp;", "&amp;$B$11&amp;", "&amp;$T$11&amp;", "&amp;$AL$11&amp;", "&amp;$B$12&amp;", "&amp;$T$12&amp;", "&amp;$AL$12&amp;", "&amp;$B$13&amp;", "&amp;$T$13&amp;", "&amp;$AL$13&amp;", "&amp;$B$14&amp;", "&amp;$T$14&amp;", "&amp;$AL$14&amp;", "&amp;$B$15&amp;", "&amp;$T$15&amp;", "&amp;$AL$15&amp;","</f>
        <v>Scr1Col1Row1, Scr1Col2Row1, Scr1Col3Row1, Scr1Col1Row2, Scr1Col2Row2, Scr1Col3Row2, Scr1Col1Row3, Scr1Col2Row3, Scr1Col3Row3, Scr1Col1Row4, Scr1Col2Row4, Scr1Col3Row4, Scr1Col1Row5, Scr1Col2Row5, Scr1Col3Row5, Scr1Col1Row6, Scr1Col2Row6, Scr1Col3Row6, Scr1Col1Row7, Scr1Col2Row7, Scr1Col3Row7, Scr1Col1Row8, Scr1Col2Row8, Scr1Col3Row8,</v>
      </c>
    </row>
    <row r="38" spans="36:118" x14ac:dyDescent="0.25">
      <c r="BJ38" s="117" t="str">
        <f>$B$16&amp;", "&amp;$T$16&amp;", "&amp;$AL$16&amp;", "&amp;$B$17&amp;", "&amp;$T$17&amp;", "&amp;$AL$18&amp;", "&amp;$B$18&amp;", "&amp;$T$18&amp;", "&amp;$AL$17&amp;", "&amp;$B$19&amp;", "&amp;$T$19&amp;", "&amp;$AL$19&amp;", "&amp;$B$20&amp;", "&amp;$T$20&amp;", "&amp;$AL$20&amp;", "&amp;$B$21&amp;", "&amp;$T$21&amp;", "&amp;$AL$21&amp;", "&amp;$B$22&amp;", "&amp;$T$22&amp;", "&amp;$AL$22&amp;", "&amp;$B$23&amp;", "&amp;$T$23&amp;", "&amp;$AL$23&amp;","</f>
        <v>Scr1Col1Row9, Scr1Col2Row9, Scr1Col3Row9, Scr1Col1Row10, Scr1Col2Row10, Scr1Col3Row11, Scr1Col1Row11, Scr1Col2Row11, Scr1Col3Row10, Scr1Col1Row12, Scr1Col2Row12, Scr1Col3Row12, Scr1Col1Row13, Scr1Col2Row13, Scr1Col3Row13, Scr1Col1Row14, Scr1Col2Row14, Scr1Col3Row14, Scr1Col1Row15, Scr1Col2Row15, Scr1Col3Row15, Scr1Col1Row16, Scr1Col2Row16, Scr1Col3Row16,</v>
      </c>
    </row>
    <row r="39" spans="36:118" x14ac:dyDescent="0.25">
      <c r="BJ39" s="117" t="str">
        <f>$B$24&amp;", "&amp;$T$24&amp;", "&amp;$AL$24&amp;", "&amp;$B$25&amp;", "&amp;$T$25&amp;", "&amp;$AL$25&amp;", "&amp;$B$26&amp;", "&amp;$T$26&amp;", "&amp;$AL$26&amp;", "&amp;$B$27&amp;", "&amp;$T$27&amp;", "&amp;$AL$27&amp;", "&amp;$B$28&amp;", "&amp;$T$28&amp;", "&amp;$AL$28&amp;", "&amp;$B$29&amp;", "&amp;$T$29&amp;", "&amp;$AL$29&amp;", "&amp;$B$30&amp;", "&amp;$T$30&amp;", "&amp;$AL$30&amp;", "&amp;$B$31&amp;", "&amp;$T$31&amp;", "&amp;$AL$31&amp;","</f>
        <v>Scr1Col1Row17, Scr1Col2Row17, Scr1Col3Row17, Scr1Col1Row18, Scr1Col2Row18, Scr1Col3Row18, Scr1Col1Row19, Scr1Col2Row19, Scr1Col3Row19, Scr1Col1Row20, Scr1Col2Row20, Scr1Col3Row20, Scr1Col1Row21, Scr1Col2Row21, Scr1Col3Row21, Scr1Col1Row22, Scr1Col2Row22, Scr1Col3Row22, Scr1Col1Row23, Scr1Col2Row23, Scr1Col3Row23, Scr1Col1Row24, Scr1Col2Row24, Scr1Col3Row24,</v>
      </c>
    </row>
  </sheetData>
  <mergeCells count="145">
    <mergeCell ref="U28:Z28"/>
    <mergeCell ref="C21:H21"/>
    <mergeCell ref="AT27:AW27"/>
    <mergeCell ref="AB25:AE25"/>
    <mergeCell ref="AB14:AE14"/>
    <mergeCell ref="J16:M16"/>
    <mergeCell ref="AM14:AR14"/>
    <mergeCell ref="AM24:AR24"/>
    <mergeCell ref="C32:BD32"/>
    <mergeCell ref="J31:M31"/>
    <mergeCell ref="AB31:AE31"/>
    <mergeCell ref="AT31:AW31"/>
    <mergeCell ref="J30:M30"/>
    <mergeCell ref="U27:Z27"/>
    <mergeCell ref="U29:Z29"/>
    <mergeCell ref="U30:Z30"/>
    <mergeCell ref="J26:M26"/>
    <mergeCell ref="AB26:AE26"/>
    <mergeCell ref="AM26:AR26"/>
    <mergeCell ref="C27:H27"/>
    <mergeCell ref="C28:H28"/>
    <mergeCell ref="J28:M28"/>
    <mergeCell ref="AB28:AE28"/>
    <mergeCell ref="AM28:AR28"/>
    <mergeCell ref="AT28:AW28"/>
    <mergeCell ref="C31:H31"/>
    <mergeCell ref="C20:H20"/>
    <mergeCell ref="AB30:AE30"/>
    <mergeCell ref="AM30:AR30"/>
    <mergeCell ref="U31:Z31"/>
    <mergeCell ref="AM31:AR31"/>
    <mergeCell ref="AM22:AR22"/>
    <mergeCell ref="J22:M22"/>
    <mergeCell ref="AB27:AE27"/>
    <mergeCell ref="U20:Z20"/>
    <mergeCell ref="U21:Z21"/>
    <mergeCell ref="U22:Z22"/>
    <mergeCell ref="C26:H26"/>
    <mergeCell ref="C23:H23"/>
    <mergeCell ref="U23:Z23"/>
    <mergeCell ref="U26:Z26"/>
    <mergeCell ref="AM27:AR27"/>
    <mergeCell ref="J20:M20"/>
    <mergeCell ref="C29:H29"/>
    <mergeCell ref="AB29:AE29"/>
    <mergeCell ref="AM29:AR29"/>
    <mergeCell ref="J27:M27"/>
    <mergeCell ref="C30:H30"/>
    <mergeCell ref="C22:H22"/>
    <mergeCell ref="AB15:AE15"/>
    <mergeCell ref="AM25:AR25"/>
    <mergeCell ref="AT24:AW24"/>
    <mergeCell ref="AT26:AW26"/>
    <mergeCell ref="J25:M25"/>
    <mergeCell ref="AT25:AW25"/>
    <mergeCell ref="AT30:AW30"/>
    <mergeCell ref="U25:Z25"/>
    <mergeCell ref="AM19:AR19"/>
    <mergeCell ref="U16:Z16"/>
    <mergeCell ref="AB16:AE16"/>
    <mergeCell ref="AM23:AR23"/>
    <mergeCell ref="AT23:AW23"/>
    <mergeCell ref="AM20:AR20"/>
    <mergeCell ref="AT22:AW22"/>
    <mergeCell ref="AT18:AW18"/>
    <mergeCell ref="AT19:AW19"/>
    <mergeCell ref="AT20:AW20"/>
    <mergeCell ref="AT29:AW29"/>
    <mergeCell ref="J29:M29"/>
    <mergeCell ref="U18:Z18"/>
    <mergeCell ref="AB22:AE22"/>
    <mergeCell ref="AM21:AR21"/>
    <mergeCell ref="AB21:AE21"/>
    <mergeCell ref="AB12:AE12"/>
    <mergeCell ref="AM18:AR18"/>
    <mergeCell ref="C25:H25"/>
    <mergeCell ref="J24:M24"/>
    <mergeCell ref="AB24:AE24"/>
    <mergeCell ref="C13:H13"/>
    <mergeCell ref="J13:M13"/>
    <mergeCell ref="AB13:AE13"/>
    <mergeCell ref="C17:H17"/>
    <mergeCell ref="J17:M17"/>
    <mergeCell ref="AB17:AE17"/>
    <mergeCell ref="C19:H19"/>
    <mergeCell ref="J19:M19"/>
    <mergeCell ref="U19:Z19"/>
    <mergeCell ref="AB19:AE19"/>
    <mergeCell ref="C24:H24"/>
    <mergeCell ref="J23:M23"/>
    <mergeCell ref="AB23:AE23"/>
    <mergeCell ref="J21:M21"/>
    <mergeCell ref="AB20:AE20"/>
    <mergeCell ref="U24:Z24"/>
    <mergeCell ref="U14:Z14"/>
    <mergeCell ref="U15:Z15"/>
    <mergeCell ref="C14:H14"/>
    <mergeCell ref="AT14:AW14"/>
    <mergeCell ref="J14:M14"/>
    <mergeCell ref="AM12:AR12"/>
    <mergeCell ref="AM17:AR17"/>
    <mergeCell ref="C18:H18"/>
    <mergeCell ref="C8:H8"/>
    <mergeCell ref="J11:M11"/>
    <mergeCell ref="AB11:AE11"/>
    <mergeCell ref="C9:H9"/>
    <mergeCell ref="C10:H10"/>
    <mergeCell ref="C11:H11"/>
    <mergeCell ref="J10:M10"/>
    <mergeCell ref="AB10:AE10"/>
    <mergeCell ref="U8:Z8"/>
    <mergeCell ref="U10:Z10"/>
    <mergeCell ref="U11:Z11"/>
    <mergeCell ref="J8:M8"/>
    <mergeCell ref="AB8:AE8"/>
    <mergeCell ref="C16:H16"/>
    <mergeCell ref="C15:H15"/>
    <mergeCell ref="AM15:AR15"/>
    <mergeCell ref="J15:M15"/>
    <mergeCell ref="C12:H12"/>
    <mergeCell ref="J12:M12"/>
    <mergeCell ref="J18:M18"/>
    <mergeCell ref="AB18:AE18"/>
    <mergeCell ref="AM16:AR16"/>
    <mergeCell ref="AT13:AW13"/>
    <mergeCell ref="AT12:AW12"/>
    <mergeCell ref="AT11:AW11"/>
    <mergeCell ref="AT17:AW17"/>
    <mergeCell ref="AT21:AW21"/>
    <mergeCell ref="AM8:AR8"/>
    <mergeCell ref="AT16:AW16"/>
    <mergeCell ref="AM13:AR13"/>
    <mergeCell ref="AM9:AR9"/>
    <mergeCell ref="AM10:AR10"/>
    <mergeCell ref="AM11:AR11"/>
    <mergeCell ref="U17:Z17"/>
    <mergeCell ref="AT15:AW15"/>
    <mergeCell ref="U12:Z12"/>
    <mergeCell ref="AT10:AW10"/>
    <mergeCell ref="AT8:AW8"/>
    <mergeCell ref="J9:M9"/>
    <mergeCell ref="AB9:AE9"/>
    <mergeCell ref="AT9:AW9"/>
    <mergeCell ref="U9:Z9"/>
    <mergeCell ref="U13:Z13"/>
  </mergeCells>
  <conditionalFormatting sqref="C8:H31 U8:Z31 AM8:AR31">
    <cfRule type="cellIs" dxfId="23" priority="20" operator="lessThan">
      <formula>17</formula>
    </cfRule>
  </conditionalFormatting>
  <conditionalFormatting sqref="C8:C31 U8:U31 AM8:AM31">
    <cfRule type="cellIs" dxfId="22" priority="18" operator="lessThan">
      <formula>16</formula>
    </cfRule>
  </conditionalFormatting>
  <conditionalFormatting sqref="BD8:BF31">
    <cfRule type="cellIs" dxfId="21" priority="1" operator="greaterThan">
      <formula>16</formula>
    </cfRule>
    <cfRule type="cellIs" dxfId="20" priority="2" operator="lessThan">
      <formula>17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1_Click">
                <anchor moveWithCells="1" sizeWithCells="1">
                  <from>
                    <xdr:col>61</xdr:col>
                    <xdr:colOff>885825</xdr:colOff>
                    <xdr:row>0</xdr:row>
                    <xdr:rowOff>57150</xdr:rowOff>
                  </from>
                  <to>
                    <xdr:col>61</xdr:col>
                    <xdr:colOff>2600325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6:BW44"/>
  <sheetViews>
    <sheetView topLeftCell="T1" zoomScale="70" zoomScaleNormal="70" workbookViewId="0">
      <selection activeCell="BJ38" sqref="BJ38"/>
    </sheetView>
  </sheetViews>
  <sheetFormatPr defaultColWidth="8.85546875" defaultRowHeight="15" x14ac:dyDescent="0.25"/>
  <cols>
    <col min="1" max="1" width="3.85546875" style="135" bestFit="1" customWidth="1"/>
    <col min="2" max="2" width="20.140625" style="135" bestFit="1" customWidth="1"/>
    <col min="3" max="7" width="2.5703125" style="135" bestFit="1" customWidth="1"/>
    <col min="8" max="8" width="3.85546875" style="135" bestFit="1" customWidth="1"/>
    <col min="9" max="9" width="2.5703125" style="135" bestFit="1" customWidth="1"/>
    <col min="10" max="14" width="3.85546875" style="135" bestFit="1" customWidth="1"/>
    <col min="15" max="15" width="7.85546875" style="135" bestFit="1" customWidth="1"/>
    <col min="16" max="19" width="3.85546875" style="135" bestFit="1" customWidth="1"/>
    <col min="20" max="20" width="20.5703125" style="135" bestFit="1" customWidth="1"/>
    <col min="21" max="32" width="3.85546875" style="135" bestFit="1" customWidth="1"/>
    <col min="33" max="33" width="7.85546875" style="135" bestFit="1" customWidth="1"/>
    <col min="34" max="37" width="3.85546875" style="135" bestFit="1" customWidth="1"/>
    <col min="38" max="38" width="20.5703125" style="135" bestFit="1" customWidth="1"/>
    <col min="39" max="50" width="3.85546875" style="135" bestFit="1" customWidth="1"/>
    <col min="51" max="51" width="7.85546875" style="135" bestFit="1" customWidth="1"/>
    <col min="52" max="58" width="3.85546875" style="135" bestFit="1" customWidth="1"/>
    <col min="59" max="61" width="3" style="135" customWidth="1"/>
    <col min="62" max="62" width="61.85546875" style="135" customWidth="1"/>
    <col min="63" max="63" width="60.85546875" style="135" customWidth="1"/>
    <col min="64" max="64" width="60.140625" style="135" customWidth="1"/>
    <col min="65" max="16384" width="8.85546875" style="135"/>
  </cols>
  <sheetData>
    <row r="6" spans="1:64" x14ac:dyDescent="0.25">
      <c r="Q6" s="135">
        <v>2</v>
      </c>
      <c r="U6" s="136"/>
      <c r="V6" s="136"/>
      <c r="W6" s="136"/>
      <c r="X6" s="136"/>
      <c r="Y6" s="136"/>
      <c r="Z6" s="136"/>
    </row>
    <row r="7" spans="1:64" ht="15.75" thickBot="1" x14ac:dyDescent="0.3">
      <c r="B7" s="135" t="s">
        <v>39</v>
      </c>
      <c r="C7" s="135">
        <v>1</v>
      </c>
      <c r="H7" s="135">
        <v>16</v>
      </c>
      <c r="J7" s="135">
        <v>19</v>
      </c>
      <c r="M7" s="135">
        <v>24</v>
      </c>
      <c r="O7" s="135" t="s">
        <v>7</v>
      </c>
      <c r="R7" s="135">
        <v>25</v>
      </c>
      <c r="T7" s="135" t="s">
        <v>39</v>
      </c>
      <c r="U7" s="135">
        <v>28</v>
      </c>
      <c r="Z7" s="135">
        <v>43</v>
      </c>
      <c r="AB7" s="135">
        <v>46</v>
      </c>
      <c r="AE7" s="135">
        <v>51</v>
      </c>
      <c r="AG7" s="135" t="s">
        <v>7</v>
      </c>
      <c r="AJ7" s="135">
        <v>52</v>
      </c>
      <c r="AL7" s="135" t="s">
        <v>39</v>
      </c>
      <c r="AM7" s="135">
        <v>55</v>
      </c>
      <c r="AR7" s="135">
        <v>70</v>
      </c>
      <c r="AT7" s="135">
        <v>73</v>
      </c>
      <c r="AW7" s="135">
        <v>78</v>
      </c>
      <c r="AY7" s="135" t="s">
        <v>7</v>
      </c>
      <c r="BB7" s="135">
        <v>79</v>
      </c>
    </row>
    <row r="8" spans="1:64" ht="14.45" customHeight="1" x14ac:dyDescent="0.25">
      <c r="A8" s="137">
        <v>1</v>
      </c>
      <c r="B8" s="138" t="str">
        <f>SUBSTITUTE(PROPER(C8)," ","")</f>
        <v>Scr2Col1Row1</v>
      </c>
      <c r="C8" s="175" t="s">
        <v>357</v>
      </c>
      <c r="D8" s="175"/>
      <c r="E8" s="175"/>
      <c r="F8" s="175"/>
      <c r="G8" s="175"/>
      <c r="H8" s="175"/>
      <c r="I8" s="139"/>
      <c r="J8" s="176">
        <v>1</v>
      </c>
      <c r="K8" s="176"/>
      <c r="L8" s="176"/>
      <c r="M8" s="176"/>
      <c r="N8" s="139"/>
      <c r="O8" s="138">
        <v>2</v>
      </c>
      <c r="P8" s="139"/>
      <c r="Q8" s="139"/>
      <c r="R8" s="138" t="s">
        <v>8</v>
      </c>
      <c r="S8" s="139"/>
      <c r="T8" s="138" t="str">
        <f>SUBSTITUTE(PROPER(U8)," ","")</f>
        <v>Scr2Col2Row1</v>
      </c>
      <c r="U8" s="175" t="s">
        <v>381</v>
      </c>
      <c r="V8" s="175"/>
      <c r="W8" s="175"/>
      <c r="X8" s="175"/>
      <c r="Y8" s="175"/>
      <c r="Z8" s="175"/>
      <c r="AA8" s="139"/>
      <c r="AB8" s="176">
        <v>25</v>
      </c>
      <c r="AC8" s="176"/>
      <c r="AD8" s="176"/>
      <c r="AE8" s="176"/>
      <c r="AF8" s="139"/>
      <c r="AG8" s="138">
        <v>2</v>
      </c>
      <c r="AH8" s="139"/>
      <c r="AI8" s="139"/>
      <c r="AJ8" s="138" t="s">
        <v>14</v>
      </c>
      <c r="AK8" s="139"/>
      <c r="AL8" s="138" t="str">
        <f>SUBSTITUTE(PROPER(AM8)," ","")</f>
        <v>Scr2Col3Row1</v>
      </c>
      <c r="AM8" s="175" t="s">
        <v>405</v>
      </c>
      <c r="AN8" s="175"/>
      <c r="AO8" s="175"/>
      <c r="AP8" s="175"/>
      <c r="AQ8" s="175"/>
      <c r="AR8" s="175"/>
      <c r="AS8" s="139"/>
      <c r="AT8" s="176">
        <v>49</v>
      </c>
      <c r="AU8" s="176"/>
      <c r="AV8" s="176"/>
      <c r="AW8" s="176"/>
      <c r="AX8" s="139"/>
      <c r="AY8" s="138">
        <v>2</v>
      </c>
      <c r="AZ8" s="139"/>
      <c r="BA8" s="139"/>
      <c r="BB8" s="138" t="s">
        <v>14</v>
      </c>
      <c r="BC8" s="139"/>
      <c r="BD8" s="139">
        <f>LEN(C8)</f>
        <v>15</v>
      </c>
      <c r="BE8" s="139">
        <f>LEN(U8)</f>
        <v>15</v>
      </c>
      <c r="BF8" s="140">
        <f>LEN(AM8)</f>
        <v>15</v>
      </c>
      <c r="BJ8" s="137" t="str">
        <f>("{"&amp;B8&amp;", "&amp;""""&amp;C8&amp;""""&amp;", "&amp;A8&amp;", "&amp;$C$7&amp;", "&amp;J8&amp;", "&amp;O8&amp;", "&amp;A8&amp;", "&amp;$J$7&amp;","&amp;""""&amp;R8&amp;""""&amp;"},")</f>
        <v>{Scr2Col1Row1, "Scr2 Col1 Row 1", 1, 1, 1, 2, 1, 19,"C"},</v>
      </c>
      <c r="BK8" s="139" t="str">
        <f>("{"&amp;T8&amp;", "&amp;""""&amp;U8&amp;""""&amp;", "&amp;A8&amp;", "&amp;$U$7&amp;", "&amp;AB8&amp;", "&amp;AG8&amp;", "&amp;A8&amp;", "&amp;$AB$7&amp;","&amp;""""&amp;AJ8&amp;""""&amp;"},")</f>
        <v>{Scr2Col2Row1, "Scr2 Col2 Row 1", 1, 28, 25, 2, 1, 46,"V"},</v>
      </c>
      <c r="BL8" s="140" t="str">
        <f>("{"&amp;AL8&amp;", "&amp;""""&amp;AM8&amp;""""&amp;", "&amp;A8&amp;", "&amp;$AM$7&amp;", "&amp;AT8&amp;", "&amp;AY8&amp;", "&amp;A8&amp;", "&amp;$AT$7&amp;","&amp;""""&amp;BB8&amp;""""&amp;"},")</f>
        <v>{Scr2Col3Row1, "Scr2 Col3 Row 1", 1, 55, 49, 2, 1, 73,"V"},</v>
      </c>
    </row>
    <row r="9" spans="1:64" x14ac:dyDescent="0.25">
      <c r="A9" s="141">
        <v>2</v>
      </c>
      <c r="B9" s="142" t="str">
        <f t="shared" ref="B9:B31" si="0">SUBSTITUTE(PROPER(C9)," ","")</f>
        <v>Scr2Col1Row2</v>
      </c>
      <c r="C9" s="173" t="s">
        <v>358</v>
      </c>
      <c r="D9" s="173"/>
      <c r="E9" s="173"/>
      <c r="F9" s="173"/>
      <c r="G9" s="173"/>
      <c r="H9" s="173"/>
      <c r="I9" s="136"/>
      <c r="J9" s="174">
        <v>2</v>
      </c>
      <c r="K9" s="174"/>
      <c r="L9" s="174"/>
      <c r="M9" s="174"/>
      <c r="N9" s="136"/>
      <c r="O9" s="142">
        <v>2</v>
      </c>
      <c r="P9" s="136"/>
      <c r="Q9" s="136"/>
      <c r="R9" s="142" t="s">
        <v>8</v>
      </c>
      <c r="S9" s="136"/>
      <c r="T9" s="142" t="str">
        <f t="shared" ref="T9:T31" si="1">SUBSTITUTE(PROPER(U9)," ","")</f>
        <v>Scr2Col2Row2</v>
      </c>
      <c r="U9" s="173" t="s">
        <v>382</v>
      </c>
      <c r="V9" s="173"/>
      <c r="W9" s="173"/>
      <c r="X9" s="173"/>
      <c r="Y9" s="173"/>
      <c r="Z9" s="173"/>
      <c r="AA9" s="136"/>
      <c r="AB9" s="174">
        <v>26</v>
      </c>
      <c r="AC9" s="174"/>
      <c r="AD9" s="174"/>
      <c r="AE9" s="174"/>
      <c r="AF9" s="136"/>
      <c r="AG9" s="142">
        <v>0</v>
      </c>
      <c r="AH9" s="136"/>
      <c r="AI9" s="136"/>
      <c r="AJ9" s="142" t="s">
        <v>0</v>
      </c>
      <c r="AK9" s="136"/>
      <c r="AL9" s="142" t="str">
        <f t="shared" ref="AL9:AL31" si="2">SUBSTITUTE(PROPER(AM9)," ","")</f>
        <v>Scr2Col3Row2</v>
      </c>
      <c r="AM9" s="173" t="s">
        <v>406</v>
      </c>
      <c r="AN9" s="173"/>
      <c r="AO9" s="173"/>
      <c r="AP9" s="173"/>
      <c r="AQ9" s="173"/>
      <c r="AR9" s="173"/>
      <c r="AS9" s="136"/>
      <c r="AT9" s="174">
        <v>50</v>
      </c>
      <c r="AU9" s="174"/>
      <c r="AV9" s="174"/>
      <c r="AW9" s="174"/>
      <c r="AX9" s="136"/>
      <c r="AY9" s="142">
        <v>0</v>
      </c>
      <c r="AZ9" s="136"/>
      <c r="BA9" s="136"/>
      <c r="BB9" s="142" t="s">
        <v>0</v>
      </c>
      <c r="BC9" s="136"/>
      <c r="BD9" s="136">
        <f t="shared" ref="BD9:BD31" si="3">LEN(C9)</f>
        <v>15</v>
      </c>
      <c r="BE9" s="136">
        <f t="shared" ref="BE9:BE31" si="4">LEN(U9)</f>
        <v>15</v>
      </c>
      <c r="BF9" s="143">
        <f t="shared" ref="BF9:BF31" si="5">LEN(AM9)</f>
        <v>15</v>
      </c>
      <c r="BJ9" s="141" t="str">
        <f t="shared" ref="BJ9:BJ31" si="6">("{"&amp;B9&amp;", "&amp;""""&amp;C9&amp;""""&amp;", "&amp;A9&amp;", "&amp;$C$7&amp;", "&amp;J9&amp;", "&amp;O9&amp;", "&amp;A9&amp;", "&amp;$J$7&amp;","&amp;""""&amp;R9&amp;""""&amp;"},")</f>
        <v>{Scr2Col1Row2, "Scr2 Col1 Row 2", 2, 1, 2, 2, 2, 19,"C"},</v>
      </c>
      <c r="BK9" s="136" t="str">
        <f t="shared" ref="BK9:BK31" si="7">("{"&amp;T9&amp;", "&amp;""""&amp;U9&amp;""""&amp;", "&amp;A9&amp;", "&amp;$U$7&amp;", "&amp;AB9&amp;", "&amp;AG9&amp;", "&amp;A9&amp;", "&amp;$AB$7&amp;","&amp;""""&amp;AJ9&amp;""""&amp;"},")</f>
        <v>{Scr2Col2Row2, "Scr2 Col2 Row 2", 2, 28, 26, 0, 2, 46,"A"},</v>
      </c>
      <c r="BL9" s="143" t="str">
        <f t="shared" ref="BL9:BL31" si="8">("{"&amp;AL9&amp;", "&amp;""""&amp;AM9&amp;""""&amp;", "&amp;A9&amp;", "&amp;$AM$7&amp;", "&amp;AT9&amp;", "&amp;AY9&amp;", "&amp;A9&amp;", "&amp;$AT$7&amp;","&amp;""""&amp;BB9&amp;""""&amp;"},")</f>
        <v>{Scr2Col3Row2, "Scr2 Col3 Row 2", 2, 55, 50, 0, 2, 73,"A"},</v>
      </c>
    </row>
    <row r="10" spans="1:64" x14ac:dyDescent="0.25">
      <c r="A10" s="141">
        <v>3</v>
      </c>
      <c r="B10" s="142" t="str">
        <f t="shared" si="0"/>
        <v>Scr2Col1Row3</v>
      </c>
      <c r="C10" s="173" t="s">
        <v>359</v>
      </c>
      <c r="D10" s="173"/>
      <c r="E10" s="173"/>
      <c r="F10" s="173"/>
      <c r="G10" s="173"/>
      <c r="H10" s="173"/>
      <c r="I10" s="136"/>
      <c r="J10" s="174">
        <v>3</v>
      </c>
      <c r="K10" s="174"/>
      <c r="L10" s="174"/>
      <c r="M10" s="174"/>
      <c r="N10" s="136"/>
      <c r="O10" s="142">
        <v>2</v>
      </c>
      <c r="P10" s="136"/>
      <c r="Q10" s="136"/>
      <c r="R10" s="142" t="s">
        <v>8</v>
      </c>
      <c r="S10" s="136"/>
      <c r="T10" s="142" t="str">
        <f t="shared" si="1"/>
        <v>Scr2Col2Row3</v>
      </c>
      <c r="U10" s="173" t="s">
        <v>383</v>
      </c>
      <c r="V10" s="173"/>
      <c r="W10" s="173"/>
      <c r="X10" s="173"/>
      <c r="Y10" s="173"/>
      <c r="Z10" s="173"/>
      <c r="AA10" s="136"/>
      <c r="AB10" s="174">
        <v>27</v>
      </c>
      <c r="AC10" s="174"/>
      <c r="AD10" s="174"/>
      <c r="AE10" s="174"/>
      <c r="AF10" s="136"/>
      <c r="AG10" s="142">
        <v>2</v>
      </c>
      <c r="AH10" s="136"/>
      <c r="AI10" s="136"/>
      <c r="AJ10" s="142" t="s">
        <v>29</v>
      </c>
      <c r="AK10" s="136"/>
      <c r="AL10" s="142" t="str">
        <f t="shared" si="2"/>
        <v>Scr2Col3Row3</v>
      </c>
      <c r="AM10" s="173" t="s">
        <v>407</v>
      </c>
      <c r="AN10" s="173"/>
      <c r="AO10" s="173"/>
      <c r="AP10" s="173"/>
      <c r="AQ10" s="173"/>
      <c r="AR10" s="173"/>
      <c r="AS10" s="136"/>
      <c r="AT10" s="174">
        <v>51</v>
      </c>
      <c r="AU10" s="174"/>
      <c r="AV10" s="174"/>
      <c r="AW10" s="174"/>
      <c r="AX10" s="136"/>
      <c r="AY10" s="142">
        <v>2</v>
      </c>
      <c r="AZ10" s="136"/>
      <c r="BA10" s="136"/>
      <c r="BB10" s="142" t="s">
        <v>29</v>
      </c>
      <c r="BC10" s="136"/>
      <c r="BD10" s="136">
        <f t="shared" si="3"/>
        <v>15</v>
      </c>
      <c r="BE10" s="136">
        <f t="shared" si="4"/>
        <v>15</v>
      </c>
      <c r="BF10" s="143">
        <f t="shared" si="5"/>
        <v>15</v>
      </c>
      <c r="BJ10" s="141" t="str">
        <f t="shared" si="6"/>
        <v>{Scr2Col1Row3, "Scr2 Col1 Row 3", 3, 1, 3, 2, 3, 19,"C"},</v>
      </c>
      <c r="BK10" s="136" t="str">
        <f t="shared" si="7"/>
        <v>{Scr2Col2Row3, "Scr2 Col2 Row 3", 3, 28, 27, 2, 3, 46,"W"},</v>
      </c>
      <c r="BL10" s="143" t="str">
        <f t="shared" si="8"/>
        <v>{Scr2Col3Row3, "Scr2 Col3 Row 3", 3, 55, 51, 2, 3, 73,"W"},</v>
      </c>
    </row>
    <row r="11" spans="1:64" x14ac:dyDescent="0.25">
      <c r="A11" s="141">
        <v>4</v>
      </c>
      <c r="B11" s="142" t="str">
        <f t="shared" si="0"/>
        <v>Scr2Col1Row4</v>
      </c>
      <c r="C11" s="173" t="s">
        <v>360</v>
      </c>
      <c r="D11" s="173"/>
      <c r="E11" s="173"/>
      <c r="F11" s="173"/>
      <c r="G11" s="173"/>
      <c r="H11" s="173"/>
      <c r="I11" s="136"/>
      <c r="J11" s="174">
        <v>4</v>
      </c>
      <c r="K11" s="174"/>
      <c r="L11" s="174"/>
      <c r="M11" s="174"/>
      <c r="N11" s="136"/>
      <c r="O11" s="142">
        <v>2</v>
      </c>
      <c r="P11" s="136"/>
      <c r="Q11" s="136"/>
      <c r="R11" s="142" t="s">
        <v>8</v>
      </c>
      <c r="S11" s="136"/>
      <c r="T11" s="142" t="str">
        <f t="shared" si="1"/>
        <v>Scr2Col2Row4</v>
      </c>
      <c r="U11" s="173" t="s">
        <v>384</v>
      </c>
      <c r="V11" s="173"/>
      <c r="W11" s="173"/>
      <c r="X11" s="173"/>
      <c r="Y11" s="173"/>
      <c r="Z11" s="173"/>
      <c r="AA11" s="136"/>
      <c r="AB11" s="174">
        <v>28</v>
      </c>
      <c r="AC11" s="174"/>
      <c r="AD11" s="174"/>
      <c r="AE11" s="174"/>
      <c r="AF11" s="136"/>
      <c r="AG11" s="142">
        <v>0</v>
      </c>
      <c r="AH11" s="136"/>
      <c r="AI11" s="136"/>
      <c r="AJ11" s="142" t="s">
        <v>14</v>
      </c>
      <c r="AK11" s="136"/>
      <c r="AL11" s="142" t="str">
        <f t="shared" si="2"/>
        <v>Scr2Col3Row4</v>
      </c>
      <c r="AM11" s="173" t="s">
        <v>408</v>
      </c>
      <c r="AN11" s="173"/>
      <c r="AO11" s="173"/>
      <c r="AP11" s="173"/>
      <c r="AQ11" s="173"/>
      <c r="AR11" s="173"/>
      <c r="AS11" s="136"/>
      <c r="AT11" s="174">
        <v>52</v>
      </c>
      <c r="AU11" s="174"/>
      <c r="AV11" s="174"/>
      <c r="AW11" s="174"/>
      <c r="AX11" s="136"/>
      <c r="AY11" s="142">
        <v>0</v>
      </c>
      <c r="AZ11" s="136"/>
      <c r="BA11" s="136"/>
      <c r="BB11" s="142" t="s">
        <v>14</v>
      </c>
      <c r="BC11" s="136"/>
      <c r="BD11" s="136">
        <f t="shared" si="3"/>
        <v>15</v>
      </c>
      <c r="BE11" s="136">
        <f t="shared" si="4"/>
        <v>15</v>
      </c>
      <c r="BF11" s="143">
        <f t="shared" si="5"/>
        <v>15</v>
      </c>
      <c r="BJ11" s="141" t="str">
        <f t="shared" si="6"/>
        <v>{Scr2Col1Row4, "Scr2 Col1 Row 4", 4, 1, 4, 2, 4, 19,"C"},</v>
      </c>
      <c r="BK11" s="136" t="str">
        <f t="shared" si="7"/>
        <v>{Scr2Col2Row4, "Scr2 Col2 Row 4", 4, 28, 28, 0, 4, 46,"V"},</v>
      </c>
      <c r="BL11" s="143" t="str">
        <f t="shared" si="8"/>
        <v>{Scr2Col3Row4, "Scr2 Col3 Row 4", 4, 55, 52, 0, 4, 73,"V"},</v>
      </c>
    </row>
    <row r="12" spans="1:64" x14ac:dyDescent="0.25">
      <c r="A12" s="141">
        <v>5</v>
      </c>
      <c r="B12" s="142" t="str">
        <f t="shared" si="0"/>
        <v>Scr2Col1Row5</v>
      </c>
      <c r="C12" s="173" t="s">
        <v>361</v>
      </c>
      <c r="D12" s="173"/>
      <c r="E12" s="173"/>
      <c r="F12" s="173"/>
      <c r="G12" s="173"/>
      <c r="H12" s="173"/>
      <c r="I12" s="136"/>
      <c r="J12" s="174">
        <v>5</v>
      </c>
      <c r="K12" s="174"/>
      <c r="L12" s="174"/>
      <c r="M12" s="174"/>
      <c r="N12" s="136"/>
      <c r="O12" s="142">
        <v>2</v>
      </c>
      <c r="P12" s="136"/>
      <c r="Q12" s="136"/>
      <c r="R12" s="142" t="s">
        <v>8</v>
      </c>
      <c r="S12" s="136"/>
      <c r="T12" s="142" t="str">
        <f t="shared" si="1"/>
        <v>Scr2Col2Row5</v>
      </c>
      <c r="U12" s="173" t="s">
        <v>385</v>
      </c>
      <c r="V12" s="173"/>
      <c r="W12" s="173"/>
      <c r="X12" s="173"/>
      <c r="Y12" s="173"/>
      <c r="Z12" s="173"/>
      <c r="AA12" s="136"/>
      <c r="AB12" s="174">
        <v>29</v>
      </c>
      <c r="AC12" s="174"/>
      <c r="AD12" s="174"/>
      <c r="AE12" s="174"/>
      <c r="AF12" s="136"/>
      <c r="AG12" s="142">
        <v>0</v>
      </c>
      <c r="AH12" s="136"/>
      <c r="AI12" s="136"/>
      <c r="AJ12" s="142" t="s">
        <v>0</v>
      </c>
      <c r="AK12" s="136"/>
      <c r="AL12" s="142" t="str">
        <f t="shared" si="2"/>
        <v>Scr2Col3Row5</v>
      </c>
      <c r="AM12" s="173" t="s">
        <v>409</v>
      </c>
      <c r="AN12" s="173"/>
      <c r="AO12" s="173"/>
      <c r="AP12" s="173"/>
      <c r="AQ12" s="173"/>
      <c r="AR12" s="173"/>
      <c r="AS12" s="136"/>
      <c r="AT12" s="174">
        <v>53</v>
      </c>
      <c r="AU12" s="174"/>
      <c r="AV12" s="174"/>
      <c r="AW12" s="174"/>
      <c r="AX12" s="136"/>
      <c r="AY12" s="142">
        <v>0</v>
      </c>
      <c r="AZ12" s="136"/>
      <c r="BA12" s="136"/>
      <c r="BB12" s="142" t="s">
        <v>0</v>
      </c>
      <c r="BC12" s="136"/>
      <c r="BD12" s="136">
        <f t="shared" si="3"/>
        <v>15</v>
      </c>
      <c r="BE12" s="136">
        <f t="shared" si="4"/>
        <v>15</v>
      </c>
      <c r="BF12" s="143">
        <f t="shared" si="5"/>
        <v>15</v>
      </c>
      <c r="BJ12" s="141" t="str">
        <f t="shared" si="6"/>
        <v>{Scr2Col1Row5, "Scr2 Col1 Row 5", 5, 1, 5, 2, 5, 19,"C"},</v>
      </c>
      <c r="BK12" s="136" t="str">
        <f t="shared" si="7"/>
        <v>{Scr2Col2Row5, "Scr2 Col2 Row 5", 5, 28, 29, 0, 5, 46,"A"},</v>
      </c>
      <c r="BL12" s="143" t="str">
        <f t="shared" si="8"/>
        <v>{Scr2Col3Row5, "Scr2 Col3 Row 5", 5, 55, 53, 0, 5, 73,"A"},</v>
      </c>
    </row>
    <row r="13" spans="1:64" x14ac:dyDescent="0.25">
      <c r="A13" s="141">
        <v>6</v>
      </c>
      <c r="B13" s="142" t="str">
        <f t="shared" si="0"/>
        <v>Scr2Col1Row6</v>
      </c>
      <c r="C13" s="173" t="s">
        <v>362</v>
      </c>
      <c r="D13" s="173"/>
      <c r="E13" s="173"/>
      <c r="F13" s="173"/>
      <c r="G13" s="173"/>
      <c r="H13" s="173"/>
      <c r="I13" s="136"/>
      <c r="J13" s="174">
        <v>6</v>
      </c>
      <c r="K13" s="174"/>
      <c r="L13" s="174"/>
      <c r="M13" s="174"/>
      <c r="N13" s="136"/>
      <c r="O13" s="142">
        <v>2</v>
      </c>
      <c r="P13" s="136"/>
      <c r="Q13" s="136"/>
      <c r="R13" s="142" t="s">
        <v>8</v>
      </c>
      <c r="S13" s="136"/>
      <c r="T13" s="142" t="str">
        <f t="shared" si="1"/>
        <v>Scr2Col2Row6</v>
      </c>
      <c r="U13" s="173" t="s">
        <v>386</v>
      </c>
      <c r="V13" s="173"/>
      <c r="W13" s="173"/>
      <c r="X13" s="173"/>
      <c r="Y13" s="173"/>
      <c r="Z13" s="173"/>
      <c r="AA13" s="136"/>
      <c r="AB13" s="174">
        <v>30</v>
      </c>
      <c r="AC13" s="174"/>
      <c r="AD13" s="174"/>
      <c r="AE13" s="174"/>
      <c r="AF13" s="136"/>
      <c r="AG13" s="142">
        <v>2</v>
      </c>
      <c r="AH13" s="136"/>
      <c r="AI13" s="136"/>
      <c r="AJ13" s="142" t="s">
        <v>29</v>
      </c>
      <c r="AK13" s="136"/>
      <c r="AL13" s="142" t="str">
        <f t="shared" si="2"/>
        <v>Scr2Col3Row6</v>
      </c>
      <c r="AM13" s="173" t="s">
        <v>410</v>
      </c>
      <c r="AN13" s="173"/>
      <c r="AO13" s="173"/>
      <c r="AP13" s="173"/>
      <c r="AQ13" s="173"/>
      <c r="AR13" s="173"/>
      <c r="AS13" s="136"/>
      <c r="AT13" s="174">
        <v>54</v>
      </c>
      <c r="AU13" s="174"/>
      <c r="AV13" s="174"/>
      <c r="AW13" s="174"/>
      <c r="AX13" s="136"/>
      <c r="AY13" s="142">
        <v>2</v>
      </c>
      <c r="AZ13" s="136"/>
      <c r="BA13" s="136"/>
      <c r="BB13" s="142" t="s">
        <v>29</v>
      </c>
      <c r="BC13" s="136"/>
      <c r="BD13" s="136">
        <f t="shared" si="3"/>
        <v>15</v>
      </c>
      <c r="BE13" s="136">
        <f t="shared" si="4"/>
        <v>15</v>
      </c>
      <c r="BF13" s="143">
        <f t="shared" si="5"/>
        <v>15</v>
      </c>
      <c r="BJ13" s="141" t="str">
        <f t="shared" si="6"/>
        <v>{Scr2Col1Row6, "Scr2 Col1 Row 6", 6, 1, 6, 2, 6, 19,"C"},</v>
      </c>
      <c r="BK13" s="136" t="str">
        <f t="shared" si="7"/>
        <v>{Scr2Col2Row6, "Scr2 Col2 Row 6", 6, 28, 30, 2, 6, 46,"W"},</v>
      </c>
      <c r="BL13" s="143" t="str">
        <f t="shared" si="8"/>
        <v>{Scr2Col3Row6, "Scr2 Col3 Row 6", 6, 55, 54, 2, 6, 73,"W"},</v>
      </c>
    </row>
    <row r="14" spans="1:64" x14ac:dyDescent="0.25">
      <c r="A14" s="141">
        <v>7</v>
      </c>
      <c r="B14" s="142" t="str">
        <f t="shared" si="0"/>
        <v>Scr2Col1Row7</v>
      </c>
      <c r="C14" s="173" t="s">
        <v>363</v>
      </c>
      <c r="D14" s="173"/>
      <c r="E14" s="173"/>
      <c r="F14" s="173"/>
      <c r="G14" s="173"/>
      <c r="H14" s="173"/>
      <c r="I14" s="136"/>
      <c r="J14" s="174">
        <v>7</v>
      </c>
      <c r="K14" s="174"/>
      <c r="L14" s="174"/>
      <c r="M14" s="174"/>
      <c r="N14" s="136"/>
      <c r="O14" s="142">
        <v>2</v>
      </c>
      <c r="P14" s="136"/>
      <c r="Q14" s="136"/>
      <c r="R14" s="142" t="s">
        <v>8</v>
      </c>
      <c r="S14" s="136"/>
      <c r="T14" s="144" t="str">
        <f t="shared" si="1"/>
        <v>Scr2Col2Row7</v>
      </c>
      <c r="U14" s="173" t="s">
        <v>387</v>
      </c>
      <c r="V14" s="173"/>
      <c r="W14" s="173"/>
      <c r="X14" s="173"/>
      <c r="Y14" s="173"/>
      <c r="Z14" s="173"/>
      <c r="AA14" s="136"/>
      <c r="AB14" s="174">
        <v>31</v>
      </c>
      <c r="AC14" s="174"/>
      <c r="AD14" s="174"/>
      <c r="AE14" s="174"/>
      <c r="AF14" s="136"/>
      <c r="AG14" s="142">
        <v>2</v>
      </c>
      <c r="AH14" s="136"/>
      <c r="AI14" s="136"/>
      <c r="AJ14" s="142" t="s">
        <v>8</v>
      </c>
      <c r="AK14" s="136"/>
      <c r="AL14" s="142" t="str">
        <f t="shared" si="2"/>
        <v>Scr2Col3Row7</v>
      </c>
      <c r="AM14" s="173" t="s">
        <v>411</v>
      </c>
      <c r="AN14" s="173"/>
      <c r="AO14" s="173"/>
      <c r="AP14" s="173"/>
      <c r="AQ14" s="173"/>
      <c r="AR14" s="173"/>
      <c r="AS14" s="136"/>
      <c r="AT14" s="174">
        <v>55</v>
      </c>
      <c r="AU14" s="174"/>
      <c r="AV14" s="174"/>
      <c r="AW14" s="174"/>
      <c r="AX14" s="136"/>
      <c r="AY14" s="142">
        <v>2</v>
      </c>
      <c r="AZ14" s="136"/>
      <c r="BA14" s="136"/>
      <c r="BB14" s="142" t="s">
        <v>8</v>
      </c>
      <c r="BC14" s="136"/>
      <c r="BD14" s="136">
        <f t="shared" si="3"/>
        <v>15</v>
      </c>
      <c r="BE14" s="136">
        <f t="shared" si="4"/>
        <v>15</v>
      </c>
      <c r="BF14" s="143">
        <f t="shared" si="5"/>
        <v>15</v>
      </c>
      <c r="BJ14" s="141" t="str">
        <f t="shared" si="6"/>
        <v>{Scr2Col1Row7, "Scr2 Col1 Row 7", 7, 1, 7, 2, 7, 19,"C"},</v>
      </c>
      <c r="BK14" s="136" t="str">
        <f t="shared" si="7"/>
        <v>{Scr2Col2Row7, "Scr2 Col2 Row 7", 7, 28, 31, 2, 7, 46,"C"},</v>
      </c>
      <c r="BL14" s="143" t="str">
        <f t="shared" si="8"/>
        <v>{Scr2Col3Row7, "Scr2 Col3 Row 7", 7, 55, 55, 2, 7, 73,"C"},</v>
      </c>
    </row>
    <row r="15" spans="1:64" ht="15.75" thickBot="1" x14ac:dyDescent="0.3">
      <c r="A15" s="145">
        <v>8</v>
      </c>
      <c r="B15" s="146" t="str">
        <f t="shared" si="0"/>
        <v>Scr2Col1Row8</v>
      </c>
      <c r="C15" s="177" t="s">
        <v>364</v>
      </c>
      <c r="D15" s="177"/>
      <c r="E15" s="177"/>
      <c r="F15" s="177"/>
      <c r="G15" s="177"/>
      <c r="H15" s="177"/>
      <c r="I15" s="147"/>
      <c r="J15" s="178">
        <v>8</v>
      </c>
      <c r="K15" s="178"/>
      <c r="L15" s="178"/>
      <c r="M15" s="178"/>
      <c r="N15" s="147"/>
      <c r="O15" s="146">
        <v>2</v>
      </c>
      <c r="P15" s="147"/>
      <c r="Q15" s="147"/>
      <c r="R15" s="146" t="s">
        <v>8</v>
      </c>
      <c r="S15" s="147"/>
      <c r="T15" s="148" t="str">
        <f t="shared" si="1"/>
        <v>Scr2Col2Row8</v>
      </c>
      <c r="U15" s="177" t="s">
        <v>388</v>
      </c>
      <c r="V15" s="177"/>
      <c r="W15" s="177"/>
      <c r="X15" s="177"/>
      <c r="Y15" s="177"/>
      <c r="Z15" s="177"/>
      <c r="AA15" s="147"/>
      <c r="AB15" s="178">
        <v>32</v>
      </c>
      <c r="AC15" s="178"/>
      <c r="AD15" s="178"/>
      <c r="AE15" s="178"/>
      <c r="AF15" s="147"/>
      <c r="AG15" s="146">
        <v>2</v>
      </c>
      <c r="AH15" s="147"/>
      <c r="AI15" s="147"/>
      <c r="AJ15" s="146" t="s">
        <v>8</v>
      </c>
      <c r="AK15" s="147"/>
      <c r="AL15" s="146" t="str">
        <f t="shared" si="2"/>
        <v>Scr2Col3Row8</v>
      </c>
      <c r="AM15" s="177" t="s">
        <v>412</v>
      </c>
      <c r="AN15" s="177"/>
      <c r="AO15" s="177"/>
      <c r="AP15" s="177"/>
      <c r="AQ15" s="177"/>
      <c r="AR15" s="177"/>
      <c r="AS15" s="147"/>
      <c r="AT15" s="178">
        <v>56</v>
      </c>
      <c r="AU15" s="178"/>
      <c r="AV15" s="178"/>
      <c r="AW15" s="178"/>
      <c r="AX15" s="147"/>
      <c r="AY15" s="146">
        <v>2</v>
      </c>
      <c r="AZ15" s="147"/>
      <c r="BA15" s="147"/>
      <c r="BB15" s="146" t="s">
        <v>8</v>
      </c>
      <c r="BC15" s="147"/>
      <c r="BD15" s="147">
        <f t="shared" si="3"/>
        <v>15</v>
      </c>
      <c r="BE15" s="147">
        <f t="shared" si="4"/>
        <v>15</v>
      </c>
      <c r="BF15" s="149">
        <f t="shared" si="5"/>
        <v>15</v>
      </c>
      <c r="BJ15" s="141" t="str">
        <f t="shared" si="6"/>
        <v>{Scr2Col1Row8, "Scr2 Col1 Row 8", 8, 1, 8, 2, 8, 19,"C"},</v>
      </c>
      <c r="BK15" s="136" t="str">
        <f t="shared" si="7"/>
        <v>{Scr2Col2Row8, "Scr2 Col2 Row 8", 8, 28, 32, 2, 8, 46,"C"},</v>
      </c>
      <c r="BL15" s="143" t="str">
        <f t="shared" si="8"/>
        <v>{Scr2Col3Row8, "Scr2 Col3 Row 8", 8, 55, 56, 2, 8, 73,"C"},</v>
      </c>
    </row>
    <row r="16" spans="1:64" x14ac:dyDescent="0.25">
      <c r="A16" s="137">
        <v>9</v>
      </c>
      <c r="B16" s="138" t="str">
        <f t="shared" si="0"/>
        <v>Scr2Col1Row9</v>
      </c>
      <c r="C16" s="175" t="s">
        <v>365</v>
      </c>
      <c r="D16" s="175"/>
      <c r="E16" s="175"/>
      <c r="F16" s="175"/>
      <c r="G16" s="175"/>
      <c r="H16" s="175"/>
      <c r="I16" s="139"/>
      <c r="J16" s="176">
        <v>9</v>
      </c>
      <c r="K16" s="176"/>
      <c r="L16" s="176"/>
      <c r="M16" s="176"/>
      <c r="N16" s="139"/>
      <c r="O16" s="138">
        <v>2</v>
      </c>
      <c r="P16" s="139"/>
      <c r="Q16" s="139"/>
      <c r="R16" s="138" t="s">
        <v>8</v>
      </c>
      <c r="S16" s="139"/>
      <c r="T16" s="150" t="str">
        <f t="shared" si="1"/>
        <v>Scr2Col2Row9</v>
      </c>
      <c r="U16" s="175" t="s">
        <v>389</v>
      </c>
      <c r="V16" s="175"/>
      <c r="W16" s="175"/>
      <c r="X16" s="175"/>
      <c r="Y16" s="175"/>
      <c r="Z16" s="175"/>
      <c r="AA16" s="139"/>
      <c r="AB16" s="176">
        <v>33</v>
      </c>
      <c r="AC16" s="176"/>
      <c r="AD16" s="176"/>
      <c r="AE16" s="176"/>
      <c r="AF16" s="139"/>
      <c r="AG16" s="138">
        <v>2</v>
      </c>
      <c r="AH16" s="139"/>
      <c r="AI16" s="139"/>
      <c r="AJ16" s="138" t="s">
        <v>8</v>
      </c>
      <c r="AK16" s="139"/>
      <c r="AL16" s="138" t="str">
        <f t="shared" si="2"/>
        <v>Scr2Col3Row9</v>
      </c>
      <c r="AM16" s="175" t="s">
        <v>413</v>
      </c>
      <c r="AN16" s="175"/>
      <c r="AO16" s="175"/>
      <c r="AP16" s="175"/>
      <c r="AQ16" s="175"/>
      <c r="AR16" s="175"/>
      <c r="AS16" s="139"/>
      <c r="AT16" s="176">
        <v>57</v>
      </c>
      <c r="AU16" s="176"/>
      <c r="AV16" s="176"/>
      <c r="AW16" s="176"/>
      <c r="AX16" s="139"/>
      <c r="AY16" s="138">
        <v>2</v>
      </c>
      <c r="AZ16" s="139"/>
      <c r="BA16" s="139"/>
      <c r="BB16" s="138" t="s">
        <v>8</v>
      </c>
      <c r="BC16" s="139"/>
      <c r="BD16" s="139">
        <f t="shared" si="3"/>
        <v>15</v>
      </c>
      <c r="BE16" s="139">
        <f t="shared" si="4"/>
        <v>15</v>
      </c>
      <c r="BF16" s="140">
        <f t="shared" si="5"/>
        <v>15</v>
      </c>
      <c r="BJ16" s="141" t="str">
        <f t="shared" si="6"/>
        <v>{Scr2Col1Row9, "Scr2 Col1 Row 9", 9, 1, 9, 2, 9, 19,"C"},</v>
      </c>
      <c r="BK16" s="136" t="str">
        <f t="shared" si="7"/>
        <v>{Scr2Col2Row9, "Scr2 Col2 Row 9", 9, 28, 33, 2, 9, 46,"C"},</v>
      </c>
      <c r="BL16" s="143" t="str">
        <f t="shared" si="8"/>
        <v>{Scr2Col3Row9, "Scr2 Col3 Row 9", 9, 55, 57, 2, 9, 73,"C"},</v>
      </c>
    </row>
    <row r="17" spans="1:64" x14ac:dyDescent="0.25">
      <c r="A17" s="141">
        <v>10</v>
      </c>
      <c r="B17" s="142" t="str">
        <f t="shared" si="0"/>
        <v>Scr2Col1Row10</v>
      </c>
      <c r="C17" s="173" t="s">
        <v>366</v>
      </c>
      <c r="D17" s="173"/>
      <c r="E17" s="173"/>
      <c r="F17" s="173"/>
      <c r="G17" s="173"/>
      <c r="H17" s="173"/>
      <c r="I17" s="136"/>
      <c r="J17" s="174">
        <v>10</v>
      </c>
      <c r="K17" s="174"/>
      <c r="L17" s="174"/>
      <c r="M17" s="174"/>
      <c r="N17" s="136"/>
      <c r="O17" s="142">
        <v>2</v>
      </c>
      <c r="P17" s="136"/>
      <c r="Q17" s="136"/>
      <c r="R17" s="142" t="s">
        <v>8</v>
      </c>
      <c r="S17" s="136"/>
      <c r="T17" s="144" t="str">
        <f t="shared" si="1"/>
        <v>Scr2Col2Row10</v>
      </c>
      <c r="U17" s="173" t="s">
        <v>390</v>
      </c>
      <c r="V17" s="173"/>
      <c r="W17" s="173"/>
      <c r="X17" s="173"/>
      <c r="Y17" s="173"/>
      <c r="Z17" s="173"/>
      <c r="AA17" s="136"/>
      <c r="AB17" s="174">
        <v>34</v>
      </c>
      <c r="AC17" s="174"/>
      <c r="AD17" s="174"/>
      <c r="AE17" s="174"/>
      <c r="AF17" s="136"/>
      <c r="AG17" s="142">
        <v>3</v>
      </c>
      <c r="AH17" s="136"/>
      <c r="AI17" s="136"/>
      <c r="AJ17" s="142" t="s">
        <v>15</v>
      </c>
      <c r="AK17" s="136"/>
      <c r="AL17" s="142" t="str">
        <f t="shared" si="2"/>
        <v>Scr2Col3Row10</v>
      </c>
      <c r="AM17" s="173" t="s">
        <v>414</v>
      </c>
      <c r="AN17" s="173"/>
      <c r="AO17" s="173"/>
      <c r="AP17" s="173"/>
      <c r="AQ17" s="173"/>
      <c r="AR17" s="173"/>
      <c r="AS17" s="136"/>
      <c r="AT17" s="174">
        <v>58</v>
      </c>
      <c r="AU17" s="174"/>
      <c r="AV17" s="174"/>
      <c r="AW17" s="174"/>
      <c r="AX17" s="136"/>
      <c r="AY17" s="142">
        <v>3</v>
      </c>
      <c r="AZ17" s="136"/>
      <c r="BA17" s="136"/>
      <c r="BB17" s="142" t="s">
        <v>15</v>
      </c>
      <c r="BC17" s="136"/>
      <c r="BD17" s="136">
        <f t="shared" si="3"/>
        <v>16</v>
      </c>
      <c r="BE17" s="136">
        <f t="shared" si="4"/>
        <v>16</v>
      </c>
      <c r="BF17" s="143">
        <f t="shared" si="5"/>
        <v>16</v>
      </c>
      <c r="BJ17" s="141" t="str">
        <f t="shared" si="6"/>
        <v>{Scr2Col1Row10, "Scr2 Col1 Row 10", 10, 1, 10, 2, 10, 19,"C"},</v>
      </c>
      <c r="BK17" s="136" t="str">
        <f t="shared" si="7"/>
        <v>{Scr2Col2Row10, "Scr2 Col2 Row 10", 10, 28, 34, 3, 10, 46,"R"},</v>
      </c>
      <c r="BL17" s="143" t="str">
        <f t="shared" si="8"/>
        <v>{Scr2Col3Row10, "Scr2 Col3 Row 10", 10, 55, 58, 3, 10, 73,"R"},</v>
      </c>
    </row>
    <row r="18" spans="1:64" x14ac:dyDescent="0.25">
      <c r="A18" s="141">
        <v>11</v>
      </c>
      <c r="B18" s="142" t="str">
        <f t="shared" si="0"/>
        <v>Scr2Col1Row11</v>
      </c>
      <c r="C18" s="173" t="s">
        <v>367</v>
      </c>
      <c r="D18" s="173"/>
      <c r="E18" s="173"/>
      <c r="F18" s="173"/>
      <c r="G18" s="173"/>
      <c r="H18" s="173"/>
      <c r="I18" s="136"/>
      <c r="J18" s="174">
        <v>11</v>
      </c>
      <c r="K18" s="174"/>
      <c r="L18" s="174"/>
      <c r="M18" s="174"/>
      <c r="N18" s="136"/>
      <c r="O18" s="142">
        <v>2</v>
      </c>
      <c r="P18" s="136"/>
      <c r="Q18" s="136"/>
      <c r="R18" s="142" t="s">
        <v>8</v>
      </c>
      <c r="S18" s="136"/>
      <c r="T18" s="144" t="str">
        <f t="shared" si="1"/>
        <v>Scr2Col2Row11</v>
      </c>
      <c r="U18" s="173" t="s">
        <v>391</v>
      </c>
      <c r="V18" s="173"/>
      <c r="W18" s="173"/>
      <c r="X18" s="173"/>
      <c r="Y18" s="173"/>
      <c r="Z18" s="173"/>
      <c r="AA18" s="136"/>
      <c r="AB18" s="174">
        <v>35</v>
      </c>
      <c r="AC18" s="174"/>
      <c r="AD18" s="174"/>
      <c r="AE18" s="174"/>
      <c r="AF18" s="136"/>
      <c r="AG18" s="142">
        <v>0</v>
      </c>
      <c r="AH18" s="136"/>
      <c r="AI18" s="136"/>
      <c r="AJ18" s="142" t="s">
        <v>189</v>
      </c>
      <c r="AK18" s="136"/>
      <c r="AL18" s="142" t="str">
        <f t="shared" si="2"/>
        <v>Scr2Col3Row11</v>
      </c>
      <c r="AM18" s="173" t="s">
        <v>415</v>
      </c>
      <c r="AN18" s="173"/>
      <c r="AO18" s="173"/>
      <c r="AP18" s="173"/>
      <c r="AQ18" s="173"/>
      <c r="AR18" s="173"/>
      <c r="AS18" s="136"/>
      <c r="AT18" s="174">
        <v>59</v>
      </c>
      <c r="AU18" s="174"/>
      <c r="AV18" s="174"/>
      <c r="AW18" s="174"/>
      <c r="AX18" s="136"/>
      <c r="AY18" s="142">
        <v>0</v>
      </c>
      <c r="AZ18" s="136"/>
      <c r="BA18" s="136"/>
      <c r="BB18" s="142" t="s">
        <v>189</v>
      </c>
      <c r="BC18" s="136"/>
      <c r="BD18" s="136">
        <f t="shared" si="3"/>
        <v>16</v>
      </c>
      <c r="BE18" s="136">
        <f t="shared" si="4"/>
        <v>16</v>
      </c>
      <c r="BF18" s="143">
        <f t="shared" si="5"/>
        <v>16</v>
      </c>
      <c r="BJ18" s="141" t="str">
        <f t="shared" si="6"/>
        <v>{Scr2Col1Row11, "Scr2 Col1 Row 11", 11, 1, 11, 2, 11, 19,"C"},</v>
      </c>
      <c r="BK18" s="136" t="str">
        <f t="shared" si="7"/>
        <v>{Scr2Col2Row11, "Scr2 Col2 Row 11", 11, 28, 35, 0, 11, 46,"%"},</v>
      </c>
      <c r="BL18" s="143" t="str">
        <f t="shared" si="8"/>
        <v>{Scr2Col3Row11, "Scr2 Col3 Row 11", 11, 55, 59, 0, 11, 73,"%"},</v>
      </c>
    </row>
    <row r="19" spans="1:64" x14ac:dyDescent="0.25">
      <c r="A19" s="141">
        <v>12</v>
      </c>
      <c r="B19" s="142" t="str">
        <f t="shared" si="0"/>
        <v>Scr2Col1Row12</v>
      </c>
      <c r="C19" s="173" t="s">
        <v>368</v>
      </c>
      <c r="D19" s="173"/>
      <c r="E19" s="173"/>
      <c r="F19" s="173"/>
      <c r="G19" s="173"/>
      <c r="H19" s="173"/>
      <c r="I19" s="136"/>
      <c r="J19" s="174">
        <v>12</v>
      </c>
      <c r="K19" s="174"/>
      <c r="L19" s="174"/>
      <c r="M19" s="174"/>
      <c r="N19" s="136"/>
      <c r="O19" s="142">
        <v>2</v>
      </c>
      <c r="P19" s="136"/>
      <c r="Q19" s="136"/>
      <c r="R19" s="142" t="s">
        <v>8</v>
      </c>
      <c r="S19" s="136"/>
      <c r="T19" s="144" t="str">
        <f t="shared" si="1"/>
        <v>Scr2Col2Row12</v>
      </c>
      <c r="U19" s="173" t="s">
        <v>392</v>
      </c>
      <c r="V19" s="173"/>
      <c r="W19" s="173"/>
      <c r="X19" s="173"/>
      <c r="Y19" s="173"/>
      <c r="Z19" s="173"/>
      <c r="AA19" s="136"/>
      <c r="AB19" s="174">
        <v>36</v>
      </c>
      <c r="AC19" s="174"/>
      <c r="AD19" s="174"/>
      <c r="AE19" s="174"/>
      <c r="AF19" s="136"/>
      <c r="AG19" s="142">
        <v>3</v>
      </c>
      <c r="AH19" s="136"/>
      <c r="AI19" s="136"/>
      <c r="AJ19" s="142" t="s">
        <v>15</v>
      </c>
      <c r="AK19" s="136"/>
      <c r="AL19" s="142" t="str">
        <f t="shared" si="2"/>
        <v>Scr2Col3Row12</v>
      </c>
      <c r="AM19" s="173" t="s">
        <v>416</v>
      </c>
      <c r="AN19" s="173"/>
      <c r="AO19" s="173"/>
      <c r="AP19" s="173"/>
      <c r="AQ19" s="173"/>
      <c r="AR19" s="173"/>
      <c r="AS19" s="136"/>
      <c r="AT19" s="174">
        <v>60</v>
      </c>
      <c r="AU19" s="174"/>
      <c r="AV19" s="174"/>
      <c r="AW19" s="174"/>
      <c r="AX19" s="136"/>
      <c r="AY19" s="142">
        <v>3</v>
      </c>
      <c r="AZ19" s="136"/>
      <c r="BA19" s="136"/>
      <c r="BB19" s="142" t="s">
        <v>15</v>
      </c>
      <c r="BC19" s="136"/>
      <c r="BD19" s="136">
        <f t="shared" si="3"/>
        <v>16</v>
      </c>
      <c r="BE19" s="136">
        <f t="shared" si="4"/>
        <v>16</v>
      </c>
      <c r="BF19" s="143">
        <f t="shared" si="5"/>
        <v>16</v>
      </c>
      <c r="BJ19" s="141" t="str">
        <f t="shared" si="6"/>
        <v>{Scr2Col1Row12, "Scr2 Col1 Row 12", 12, 1, 12, 2, 12, 19,"C"},</v>
      </c>
      <c r="BK19" s="136" t="str">
        <f t="shared" si="7"/>
        <v>{Scr2Col2Row12, "Scr2 Col2 Row 12", 12, 28, 36, 3, 12, 46,"R"},</v>
      </c>
      <c r="BL19" s="143" t="str">
        <f t="shared" si="8"/>
        <v>{Scr2Col3Row12, "Scr2 Col3 Row 12", 12, 55, 60, 3, 12, 73,"R"},</v>
      </c>
    </row>
    <row r="20" spans="1:64" x14ac:dyDescent="0.25">
      <c r="A20" s="141">
        <v>13</v>
      </c>
      <c r="B20" s="142" t="str">
        <f t="shared" si="0"/>
        <v>Scr2Col1Row13</v>
      </c>
      <c r="C20" s="173" t="s">
        <v>369</v>
      </c>
      <c r="D20" s="173"/>
      <c r="E20" s="173"/>
      <c r="F20" s="173"/>
      <c r="G20" s="173"/>
      <c r="H20" s="173"/>
      <c r="I20" s="136"/>
      <c r="J20" s="174">
        <v>13</v>
      </c>
      <c r="K20" s="174"/>
      <c r="L20" s="174"/>
      <c r="M20" s="174"/>
      <c r="N20" s="136"/>
      <c r="O20" s="142">
        <v>2</v>
      </c>
      <c r="P20" s="136"/>
      <c r="Q20" s="136"/>
      <c r="R20" s="142" t="s">
        <v>8</v>
      </c>
      <c r="S20" s="136"/>
      <c r="T20" s="144" t="str">
        <f t="shared" si="1"/>
        <v>Scr2Col2Row13</v>
      </c>
      <c r="U20" s="173" t="s">
        <v>393</v>
      </c>
      <c r="V20" s="173"/>
      <c r="W20" s="173"/>
      <c r="X20" s="173"/>
      <c r="Y20" s="173"/>
      <c r="Z20" s="173"/>
      <c r="AA20" s="136"/>
      <c r="AB20" s="174">
        <v>37</v>
      </c>
      <c r="AC20" s="174"/>
      <c r="AD20" s="174"/>
      <c r="AE20" s="174"/>
      <c r="AF20" s="136"/>
      <c r="AG20" s="142">
        <v>3</v>
      </c>
      <c r="AH20" s="136"/>
      <c r="AI20" s="136"/>
      <c r="AJ20" s="142" t="s">
        <v>15</v>
      </c>
      <c r="AK20" s="136"/>
      <c r="AL20" s="142" t="str">
        <f t="shared" si="2"/>
        <v>Scr2Col3Row13</v>
      </c>
      <c r="AM20" s="173" t="s">
        <v>417</v>
      </c>
      <c r="AN20" s="173"/>
      <c r="AO20" s="173"/>
      <c r="AP20" s="173"/>
      <c r="AQ20" s="173"/>
      <c r="AR20" s="173"/>
      <c r="AS20" s="136"/>
      <c r="AT20" s="174">
        <v>61</v>
      </c>
      <c r="AU20" s="174"/>
      <c r="AV20" s="174"/>
      <c r="AW20" s="174"/>
      <c r="AX20" s="136"/>
      <c r="AY20" s="142">
        <v>3</v>
      </c>
      <c r="AZ20" s="136"/>
      <c r="BA20" s="136"/>
      <c r="BB20" s="142" t="s">
        <v>15</v>
      </c>
      <c r="BC20" s="136"/>
      <c r="BD20" s="136">
        <f t="shared" si="3"/>
        <v>16</v>
      </c>
      <c r="BE20" s="136">
        <f t="shared" si="4"/>
        <v>16</v>
      </c>
      <c r="BF20" s="143">
        <f t="shared" si="5"/>
        <v>16</v>
      </c>
      <c r="BJ20" s="141" t="str">
        <f t="shared" si="6"/>
        <v>{Scr2Col1Row13, "Scr2 Col1 Row 13", 13, 1, 13, 2, 13, 19,"C"},</v>
      </c>
      <c r="BK20" s="136" t="str">
        <f t="shared" si="7"/>
        <v>{Scr2Col2Row13, "Scr2 Col2 Row 13", 13, 28, 37, 3, 13, 46,"R"},</v>
      </c>
      <c r="BL20" s="143" t="str">
        <f t="shared" si="8"/>
        <v>{Scr2Col3Row13, "Scr2 Col3 Row 13", 13, 55, 61, 3, 13, 73,"R"},</v>
      </c>
    </row>
    <row r="21" spans="1:64" x14ac:dyDescent="0.25">
      <c r="A21" s="141">
        <v>14</v>
      </c>
      <c r="B21" s="142" t="str">
        <f t="shared" si="0"/>
        <v>Scr2Col1Row14</v>
      </c>
      <c r="C21" s="173" t="s">
        <v>370</v>
      </c>
      <c r="D21" s="173"/>
      <c r="E21" s="173"/>
      <c r="F21" s="173"/>
      <c r="G21" s="173"/>
      <c r="H21" s="173"/>
      <c r="I21" s="136"/>
      <c r="J21" s="174">
        <v>14</v>
      </c>
      <c r="K21" s="174"/>
      <c r="L21" s="174"/>
      <c r="M21" s="174"/>
      <c r="N21" s="136"/>
      <c r="O21" s="142">
        <v>2</v>
      </c>
      <c r="P21" s="136"/>
      <c r="Q21" s="136"/>
      <c r="R21" s="142" t="s">
        <v>8</v>
      </c>
      <c r="S21" s="136"/>
      <c r="T21" s="144" t="str">
        <f t="shared" si="1"/>
        <v>Scr2Col2Row14</v>
      </c>
      <c r="U21" s="173" t="s">
        <v>394</v>
      </c>
      <c r="V21" s="173"/>
      <c r="W21" s="173"/>
      <c r="X21" s="173"/>
      <c r="Y21" s="173"/>
      <c r="Z21" s="173"/>
      <c r="AA21" s="136"/>
      <c r="AB21" s="174">
        <v>38</v>
      </c>
      <c r="AC21" s="174"/>
      <c r="AD21" s="174"/>
      <c r="AE21" s="174"/>
      <c r="AF21" s="136"/>
      <c r="AG21" s="142">
        <v>3</v>
      </c>
      <c r="AH21" s="136"/>
      <c r="AI21" s="136"/>
      <c r="AJ21" s="142" t="s">
        <v>15</v>
      </c>
      <c r="AK21" s="136"/>
      <c r="AL21" s="142" t="str">
        <f t="shared" si="2"/>
        <v>Scr2Col3Row14</v>
      </c>
      <c r="AM21" s="173" t="s">
        <v>418</v>
      </c>
      <c r="AN21" s="173"/>
      <c r="AO21" s="173"/>
      <c r="AP21" s="173"/>
      <c r="AQ21" s="173"/>
      <c r="AR21" s="173"/>
      <c r="AS21" s="136"/>
      <c r="AT21" s="174">
        <v>62</v>
      </c>
      <c r="AU21" s="174"/>
      <c r="AV21" s="174"/>
      <c r="AW21" s="174"/>
      <c r="AX21" s="136"/>
      <c r="AY21" s="142">
        <v>3</v>
      </c>
      <c r="AZ21" s="136"/>
      <c r="BA21" s="136"/>
      <c r="BB21" s="142" t="s">
        <v>15</v>
      </c>
      <c r="BC21" s="136"/>
      <c r="BD21" s="136">
        <f t="shared" si="3"/>
        <v>16</v>
      </c>
      <c r="BE21" s="136">
        <f t="shared" si="4"/>
        <v>16</v>
      </c>
      <c r="BF21" s="143">
        <f t="shared" si="5"/>
        <v>16</v>
      </c>
      <c r="BJ21" s="141" t="str">
        <f t="shared" si="6"/>
        <v>{Scr2Col1Row14, "Scr2 Col1 Row 14", 14, 1, 14, 2, 14, 19,"C"},</v>
      </c>
      <c r="BK21" s="136" t="str">
        <f t="shared" si="7"/>
        <v>{Scr2Col2Row14, "Scr2 Col2 Row 14", 14, 28, 38, 3, 14, 46,"R"},</v>
      </c>
      <c r="BL21" s="143" t="str">
        <f t="shared" si="8"/>
        <v>{Scr2Col3Row14, "Scr2 Col3 Row 14", 14, 55, 62, 3, 14, 73,"R"},</v>
      </c>
    </row>
    <row r="22" spans="1:64" x14ac:dyDescent="0.25">
      <c r="A22" s="141">
        <v>15</v>
      </c>
      <c r="B22" s="142" t="str">
        <f t="shared" si="0"/>
        <v>Scr2Col1Row15</v>
      </c>
      <c r="C22" s="173" t="s">
        <v>371</v>
      </c>
      <c r="D22" s="173"/>
      <c r="E22" s="173"/>
      <c r="F22" s="173"/>
      <c r="G22" s="173"/>
      <c r="H22" s="173"/>
      <c r="I22" s="136"/>
      <c r="J22" s="174">
        <v>15</v>
      </c>
      <c r="K22" s="174"/>
      <c r="L22" s="174"/>
      <c r="M22" s="174"/>
      <c r="N22" s="136"/>
      <c r="O22" s="142">
        <v>2</v>
      </c>
      <c r="P22" s="136"/>
      <c r="Q22" s="136"/>
      <c r="R22" s="142" t="s">
        <v>8</v>
      </c>
      <c r="S22" s="136"/>
      <c r="T22" s="144" t="str">
        <f t="shared" si="1"/>
        <v>Scr2Col2Row15</v>
      </c>
      <c r="U22" s="173" t="s">
        <v>395</v>
      </c>
      <c r="V22" s="173"/>
      <c r="W22" s="173"/>
      <c r="X22" s="173"/>
      <c r="Y22" s="173"/>
      <c r="Z22" s="173"/>
      <c r="AA22" s="136"/>
      <c r="AB22" s="174">
        <v>39</v>
      </c>
      <c r="AC22" s="174"/>
      <c r="AD22" s="174"/>
      <c r="AE22" s="174"/>
      <c r="AF22" s="136"/>
      <c r="AG22" s="142">
        <v>3</v>
      </c>
      <c r="AH22" s="136"/>
      <c r="AI22" s="136"/>
      <c r="AJ22" s="142" t="s">
        <v>15</v>
      </c>
      <c r="AK22" s="136"/>
      <c r="AL22" s="142" t="str">
        <f t="shared" si="2"/>
        <v>Scr2Col3Row15</v>
      </c>
      <c r="AM22" s="173" t="s">
        <v>419</v>
      </c>
      <c r="AN22" s="173"/>
      <c r="AO22" s="173"/>
      <c r="AP22" s="173"/>
      <c r="AQ22" s="173"/>
      <c r="AR22" s="173"/>
      <c r="AS22" s="136"/>
      <c r="AT22" s="174">
        <v>63</v>
      </c>
      <c r="AU22" s="174"/>
      <c r="AV22" s="174"/>
      <c r="AW22" s="174"/>
      <c r="AX22" s="136"/>
      <c r="AY22" s="142">
        <v>3</v>
      </c>
      <c r="AZ22" s="136"/>
      <c r="BA22" s="136"/>
      <c r="BB22" s="142" t="s">
        <v>15</v>
      </c>
      <c r="BC22" s="136"/>
      <c r="BD22" s="136">
        <f t="shared" si="3"/>
        <v>16</v>
      </c>
      <c r="BE22" s="136">
        <f t="shared" si="4"/>
        <v>16</v>
      </c>
      <c r="BF22" s="143">
        <f t="shared" si="5"/>
        <v>16</v>
      </c>
      <c r="BJ22" s="141" t="str">
        <f t="shared" si="6"/>
        <v>{Scr2Col1Row15, "Scr2 Col1 Row 15", 15, 1, 15, 2, 15, 19,"C"},</v>
      </c>
      <c r="BK22" s="136" t="str">
        <f t="shared" si="7"/>
        <v>{Scr2Col2Row15, "Scr2 Col2 Row 15", 15, 28, 39, 3, 15, 46,"R"},</v>
      </c>
      <c r="BL22" s="143" t="str">
        <f t="shared" si="8"/>
        <v>{Scr2Col3Row15, "Scr2 Col3 Row 15", 15, 55, 63, 3, 15, 73,"R"},</v>
      </c>
    </row>
    <row r="23" spans="1:64" ht="15.75" thickBot="1" x14ac:dyDescent="0.3">
      <c r="A23" s="145">
        <v>16</v>
      </c>
      <c r="B23" s="146" t="str">
        <f t="shared" si="0"/>
        <v>Scr2Col1Row16</v>
      </c>
      <c r="C23" s="177" t="s">
        <v>372</v>
      </c>
      <c r="D23" s="177"/>
      <c r="E23" s="177"/>
      <c r="F23" s="177"/>
      <c r="G23" s="177"/>
      <c r="H23" s="177"/>
      <c r="I23" s="147"/>
      <c r="J23" s="178">
        <v>16</v>
      </c>
      <c r="K23" s="178"/>
      <c r="L23" s="178"/>
      <c r="M23" s="178"/>
      <c r="N23" s="147"/>
      <c r="O23" s="146">
        <v>2</v>
      </c>
      <c r="P23" s="147"/>
      <c r="Q23" s="147"/>
      <c r="R23" s="146" t="s">
        <v>8</v>
      </c>
      <c r="S23" s="147"/>
      <c r="T23" s="148" t="str">
        <f t="shared" si="1"/>
        <v>Scr2Col2Row16</v>
      </c>
      <c r="U23" s="177" t="s">
        <v>396</v>
      </c>
      <c r="V23" s="177"/>
      <c r="W23" s="177"/>
      <c r="X23" s="177"/>
      <c r="Y23" s="177"/>
      <c r="Z23" s="177"/>
      <c r="AA23" s="147"/>
      <c r="AB23" s="178">
        <v>40</v>
      </c>
      <c r="AC23" s="178"/>
      <c r="AD23" s="178"/>
      <c r="AE23" s="178"/>
      <c r="AF23" s="147"/>
      <c r="AG23" s="146">
        <v>3</v>
      </c>
      <c r="AH23" s="147"/>
      <c r="AI23" s="147"/>
      <c r="AJ23" s="146" t="s">
        <v>15</v>
      </c>
      <c r="AK23" s="147"/>
      <c r="AL23" s="146" t="str">
        <f t="shared" si="2"/>
        <v>Scr2Col3Row16</v>
      </c>
      <c r="AM23" s="177" t="s">
        <v>420</v>
      </c>
      <c r="AN23" s="177"/>
      <c r="AO23" s="177"/>
      <c r="AP23" s="177"/>
      <c r="AQ23" s="177"/>
      <c r="AR23" s="177"/>
      <c r="AS23" s="147"/>
      <c r="AT23" s="178">
        <v>64</v>
      </c>
      <c r="AU23" s="178"/>
      <c r="AV23" s="178"/>
      <c r="AW23" s="178"/>
      <c r="AX23" s="147"/>
      <c r="AY23" s="146">
        <v>3</v>
      </c>
      <c r="AZ23" s="147"/>
      <c r="BA23" s="147"/>
      <c r="BB23" s="146" t="s">
        <v>15</v>
      </c>
      <c r="BC23" s="147"/>
      <c r="BD23" s="147">
        <f t="shared" si="3"/>
        <v>16</v>
      </c>
      <c r="BE23" s="147">
        <f t="shared" si="4"/>
        <v>16</v>
      </c>
      <c r="BF23" s="149">
        <f t="shared" si="5"/>
        <v>16</v>
      </c>
      <c r="BJ23" s="141" t="str">
        <f t="shared" si="6"/>
        <v>{Scr2Col1Row16, "Scr2 Col1 Row 16", 16, 1, 16, 2, 16, 19,"C"},</v>
      </c>
      <c r="BK23" s="136" t="str">
        <f t="shared" si="7"/>
        <v>{Scr2Col2Row16, "Scr2 Col2 Row 16", 16, 28, 40, 3, 16, 46,"R"},</v>
      </c>
      <c r="BL23" s="143" t="str">
        <f t="shared" si="8"/>
        <v>{Scr2Col3Row16, "Scr2 Col3 Row 16", 16, 55, 64, 3, 16, 73,"R"},</v>
      </c>
    </row>
    <row r="24" spans="1:64" x14ac:dyDescent="0.25">
      <c r="A24" s="137">
        <v>17</v>
      </c>
      <c r="B24" s="138" t="str">
        <f t="shared" si="0"/>
        <v>Scr2Col1Row17</v>
      </c>
      <c r="C24" s="175" t="s">
        <v>373</v>
      </c>
      <c r="D24" s="175"/>
      <c r="E24" s="175"/>
      <c r="F24" s="175"/>
      <c r="G24" s="175"/>
      <c r="H24" s="175"/>
      <c r="I24" s="139"/>
      <c r="J24" s="176">
        <v>17</v>
      </c>
      <c r="K24" s="176"/>
      <c r="L24" s="176"/>
      <c r="M24" s="176"/>
      <c r="N24" s="139"/>
      <c r="O24" s="138">
        <v>2</v>
      </c>
      <c r="P24" s="139"/>
      <c r="Q24" s="139"/>
      <c r="R24" s="138" t="s">
        <v>8</v>
      </c>
      <c r="S24" s="139"/>
      <c r="T24" s="150" t="str">
        <f t="shared" si="1"/>
        <v>Scr2Col2Row17</v>
      </c>
      <c r="U24" s="175" t="s">
        <v>397</v>
      </c>
      <c r="V24" s="175"/>
      <c r="W24" s="175"/>
      <c r="X24" s="175"/>
      <c r="Y24" s="175"/>
      <c r="Z24" s="175"/>
      <c r="AA24" s="139"/>
      <c r="AB24" s="176">
        <v>41</v>
      </c>
      <c r="AC24" s="176"/>
      <c r="AD24" s="176"/>
      <c r="AE24" s="176"/>
      <c r="AF24" s="139"/>
      <c r="AG24" s="138">
        <v>3</v>
      </c>
      <c r="AH24" s="139"/>
      <c r="AI24" s="139"/>
      <c r="AJ24" s="138" t="s">
        <v>15</v>
      </c>
      <c r="AK24" s="139"/>
      <c r="AL24" s="138" t="str">
        <f t="shared" si="2"/>
        <v>Scr2Col3Row17</v>
      </c>
      <c r="AM24" s="175" t="s">
        <v>421</v>
      </c>
      <c r="AN24" s="175"/>
      <c r="AO24" s="175"/>
      <c r="AP24" s="175"/>
      <c r="AQ24" s="175"/>
      <c r="AR24" s="175"/>
      <c r="AS24" s="139"/>
      <c r="AT24" s="176">
        <v>65</v>
      </c>
      <c r="AU24" s="176"/>
      <c r="AV24" s="176"/>
      <c r="AW24" s="176"/>
      <c r="AX24" s="139"/>
      <c r="AY24" s="138">
        <v>3</v>
      </c>
      <c r="AZ24" s="139"/>
      <c r="BA24" s="139"/>
      <c r="BB24" s="138" t="s">
        <v>15</v>
      </c>
      <c r="BC24" s="139"/>
      <c r="BD24" s="139">
        <f t="shared" si="3"/>
        <v>16</v>
      </c>
      <c r="BE24" s="139">
        <f t="shared" si="4"/>
        <v>16</v>
      </c>
      <c r="BF24" s="140">
        <f t="shared" si="5"/>
        <v>16</v>
      </c>
      <c r="BJ24" s="141" t="str">
        <f t="shared" si="6"/>
        <v>{Scr2Col1Row17, "Scr2 Col1 Row 17", 17, 1, 17, 2, 17, 19,"C"},</v>
      </c>
      <c r="BK24" s="136" t="str">
        <f t="shared" si="7"/>
        <v>{Scr2Col2Row17, "Scr2 Col2 Row 17", 17, 28, 41, 3, 17, 46,"R"},</v>
      </c>
      <c r="BL24" s="143" t="str">
        <f t="shared" si="8"/>
        <v>{Scr2Col3Row17, "Scr2 Col3 Row 17", 17, 55, 65, 3, 17, 73,"R"},</v>
      </c>
    </row>
    <row r="25" spans="1:64" x14ac:dyDescent="0.25">
      <c r="A25" s="141">
        <v>18</v>
      </c>
      <c r="B25" s="142" t="str">
        <f t="shared" si="0"/>
        <v>Scr2Col1Row18</v>
      </c>
      <c r="C25" s="173" t="s">
        <v>374</v>
      </c>
      <c r="D25" s="173"/>
      <c r="E25" s="173"/>
      <c r="F25" s="173"/>
      <c r="G25" s="173"/>
      <c r="H25" s="173"/>
      <c r="I25" s="136"/>
      <c r="J25" s="174">
        <v>18</v>
      </c>
      <c r="K25" s="174"/>
      <c r="L25" s="174"/>
      <c r="M25" s="174"/>
      <c r="N25" s="136"/>
      <c r="O25" s="142">
        <v>2</v>
      </c>
      <c r="P25" s="136"/>
      <c r="Q25" s="136"/>
      <c r="R25" s="142" t="s">
        <v>8</v>
      </c>
      <c r="S25" s="136"/>
      <c r="T25" s="144" t="str">
        <f t="shared" si="1"/>
        <v>Scr2Col2Row18</v>
      </c>
      <c r="U25" s="173" t="s">
        <v>398</v>
      </c>
      <c r="V25" s="173"/>
      <c r="W25" s="173"/>
      <c r="X25" s="173"/>
      <c r="Y25" s="173"/>
      <c r="Z25" s="173"/>
      <c r="AA25" s="136"/>
      <c r="AB25" s="174">
        <v>42</v>
      </c>
      <c r="AC25" s="174"/>
      <c r="AD25" s="174"/>
      <c r="AE25" s="174"/>
      <c r="AF25" s="136"/>
      <c r="AG25" s="142">
        <v>2</v>
      </c>
      <c r="AH25" s="136"/>
      <c r="AI25" s="136"/>
      <c r="AJ25" s="142" t="s">
        <v>8</v>
      </c>
      <c r="AK25" s="136"/>
      <c r="AL25" s="142" t="str">
        <f t="shared" si="2"/>
        <v>Scr2Col3Row18</v>
      </c>
      <c r="AM25" s="173" t="s">
        <v>422</v>
      </c>
      <c r="AN25" s="173"/>
      <c r="AO25" s="173"/>
      <c r="AP25" s="173"/>
      <c r="AQ25" s="173"/>
      <c r="AR25" s="173"/>
      <c r="AS25" s="136"/>
      <c r="AT25" s="174">
        <v>66</v>
      </c>
      <c r="AU25" s="174"/>
      <c r="AV25" s="174"/>
      <c r="AW25" s="174"/>
      <c r="AX25" s="136"/>
      <c r="AY25" s="142">
        <v>2</v>
      </c>
      <c r="AZ25" s="136"/>
      <c r="BA25" s="136"/>
      <c r="BB25" s="142" t="s">
        <v>8</v>
      </c>
      <c r="BC25" s="136"/>
      <c r="BD25" s="136">
        <f t="shared" si="3"/>
        <v>16</v>
      </c>
      <c r="BE25" s="136">
        <f t="shared" si="4"/>
        <v>16</v>
      </c>
      <c r="BF25" s="143">
        <f t="shared" si="5"/>
        <v>16</v>
      </c>
      <c r="BJ25" s="141" t="str">
        <f t="shared" si="6"/>
        <v>{Scr2Col1Row18, "Scr2 Col1 Row 18", 18, 1, 18, 2, 18, 19,"C"},</v>
      </c>
      <c r="BK25" s="136" t="str">
        <f t="shared" si="7"/>
        <v>{Scr2Col2Row18, "Scr2 Col2 Row 18", 18, 28, 42, 2, 18, 46,"C"},</v>
      </c>
      <c r="BL25" s="143" t="str">
        <f t="shared" si="8"/>
        <v>{Scr2Col3Row18, "Scr2 Col3 Row 18", 18, 55, 66, 2, 18, 73,"C"},</v>
      </c>
    </row>
    <row r="26" spans="1:64" x14ac:dyDescent="0.25">
      <c r="A26" s="141">
        <v>19</v>
      </c>
      <c r="B26" s="142" t="str">
        <f t="shared" si="0"/>
        <v>Scr2Col1Row19</v>
      </c>
      <c r="C26" s="173" t="s">
        <v>375</v>
      </c>
      <c r="D26" s="173"/>
      <c r="E26" s="173"/>
      <c r="F26" s="173"/>
      <c r="G26" s="173"/>
      <c r="H26" s="173"/>
      <c r="I26" s="136"/>
      <c r="J26" s="174">
        <v>19</v>
      </c>
      <c r="K26" s="174"/>
      <c r="L26" s="174"/>
      <c r="M26" s="174"/>
      <c r="N26" s="136"/>
      <c r="O26" s="142">
        <v>2</v>
      </c>
      <c r="P26" s="136"/>
      <c r="Q26" s="136"/>
      <c r="R26" s="142" t="s">
        <v>8</v>
      </c>
      <c r="S26" s="136"/>
      <c r="T26" s="144" t="str">
        <f t="shared" si="1"/>
        <v>Scr2Col2Row19</v>
      </c>
      <c r="U26" s="173" t="s">
        <v>399</v>
      </c>
      <c r="V26" s="173"/>
      <c r="W26" s="173"/>
      <c r="X26" s="173"/>
      <c r="Y26" s="173"/>
      <c r="Z26" s="173"/>
      <c r="AA26" s="136"/>
      <c r="AB26" s="174">
        <v>43</v>
      </c>
      <c r="AC26" s="174"/>
      <c r="AD26" s="174"/>
      <c r="AE26" s="174"/>
      <c r="AF26" s="136"/>
      <c r="AG26" s="142">
        <v>2</v>
      </c>
      <c r="AH26" s="136"/>
      <c r="AI26" s="136"/>
      <c r="AJ26" s="142" t="s">
        <v>8</v>
      </c>
      <c r="AK26" s="136"/>
      <c r="AL26" s="142" t="str">
        <f t="shared" si="2"/>
        <v>Scr2Col3Row19</v>
      </c>
      <c r="AM26" s="173" t="s">
        <v>423</v>
      </c>
      <c r="AN26" s="173"/>
      <c r="AO26" s="173"/>
      <c r="AP26" s="173"/>
      <c r="AQ26" s="173"/>
      <c r="AR26" s="173"/>
      <c r="AS26" s="136"/>
      <c r="AT26" s="174">
        <v>67</v>
      </c>
      <c r="AU26" s="174"/>
      <c r="AV26" s="174"/>
      <c r="AW26" s="174"/>
      <c r="AX26" s="136"/>
      <c r="AY26" s="142">
        <v>2</v>
      </c>
      <c r="AZ26" s="136"/>
      <c r="BA26" s="136"/>
      <c r="BB26" s="142" t="s">
        <v>8</v>
      </c>
      <c r="BC26" s="136"/>
      <c r="BD26" s="136">
        <f t="shared" si="3"/>
        <v>16</v>
      </c>
      <c r="BE26" s="136">
        <f t="shared" si="4"/>
        <v>16</v>
      </c>
      <c r="BF26" s="143">
        <f t="shared" si="5"/>
        <v>16</v>
      </c>
      <c r="BJ26" s="141" t="str">
        <f t="shared" si="6"/>
        <v>{Scr2Col1Row19, "Scr2 Col1 Row 19", 19, 1, 19, 2, 19, 19,"C"},</v>
      </c>
      <c r="BK26" s="136" t="str">
        <f t="shared" si="7"/>
        <v>{Scr2Col2Row19, "Scr2 Col2 Row 19", 19, 28, 43, 2, 19, 46,"C"},</v>
      </c>
      <c r="BL26" s="143" t="str">
        <f t="shared" si="8"/>
        <v>{Scr2Col3Row19, "Scr2 Col3 Row 19", 19, 55, 67, 2, 19, 73,"C"},</v>
      </c>
    </row>
    <row r="27" spans="1:64" x14ac:dyDescent="0.25">
      <c r="A27" s="141">
        <v>20</v>
      </c>
      <c r="B27" s="142" t="str">
        <f t="shared" si="0"/>
        <v>Scr2Col1Row20</v>
      </c>
      <c r="C27" s="173" t="s">
        <v>376</v>
      </c>
      <c r="D27" s="173"/>
      <c r="E27" s="173"/>
      <c r="F27" s="173"/>
      <c r="G27" s="173"/>
      <c r="H27" s="173"/>
      <c r="I27" s="136"/>
      <c r="J27" s="174">
        <v>20</v>
      </c>
      <c r="K27" s="174"/>
      <c r="L27" s="174"/>
      <c r="M27" s="174"/>
      <c r="N27" s="136"/>
      <c r="O27" s="142">
        <v>2</v>
      </c>
      <c r="P27" s="136"/>
      <c r="Q27" s="136"/>
      <c r="R27" s="142" t="s">
        <v>8</v>
      </c>
      <c r="S27" s="136"/>
      <c r="T27" s="144" t="str">
        <f t="shared" si="1"/>
        <v>Scr2Col2Row20</v>
      </c>
      <c r="U27" s="173" t="s">
        <v>400</v>
      </c>
      <c r="V27" s="173"/>
      <c r="W27" s="173"/>
      <c r="X27" s="173"/>
      <c r="Y27" s="173"/>
      <c r="Z27" s="173"/>
      <c r="AA27" s="136"/>
      <c r="AB27" s="174">
        <v>44</v>
      </c>
      <c r="AC27" s="174"/>
      <c r="AD27" s="174"/>
      <c r="AE27" s="174"/>
      <c r="AF27" s="136"/>
      <c r="AG27" s="142">
        <v>2</v>
      </c>
      <c r="AH27" s="136"/>
      <c r="AI27" s="136"/>
      <c r="AJ27" s="142" t="s">
        <v>8</v>
      </c>
      <c r="AK27" s="136"/>
      <c r="AL27" s="142" t="str">
        <f t="shared" si="2"/>
        <v>Scr2Col3Row20</v>
      </c>
      <c r="AM27" s="173" t="s">
        <v>424</v>
      </c>
      <c r="AN27" s="173"/>
      <c r="AO27" s="173"/>
      <c r="AP27" s="173"/>
      <c r="AQ27" s="173"/>
      <c r="AR27" s="173"/>
      <c r="AS27" s="136"/>
      <c r="AT27" s="174">
        <v>68</v>
      </c>
      <c r="AU27" s="174"/>
      <c r="AV27" s="174"/>
      <c r="AW27" s="174"/>
      <c r="AX27" s="136"/>
      <c r="AY27" s="142">
        <v>2</v>
      </c>
      <c r="AZ27" s="136"/>
      <c r="BA27" s="136"/>
      <c r="BB27" s="142" t="s">
        <v>8</v>
      </c>
      <c r="BC27" s="136"/>
      <c r="BD27" s="136">
        <f t="shared" si="3"/>
        <v>16</v>
      </c>
      <c r="BE27" s="136">
        <f t="shared" si="4"/>
        <v>16</v>
      </c>
      <c r="BF27" s="143">
        <f t="shared" si="5"/>
        <v>16</v>
      </c>
      <c r="BJ27" s="141" t="str">
        <f t="shared" si="6"/>
        <v>{Scr2Col1Row20, "Scr2 Col1 Row 20", 20, 1, 20, 2, 20, 19,"C"},</v>
      </c>
      <c r="BK27" s="136" t="str">
        <f t="shared" si="7"/>
        <v>{Scr2Col2Row20, "Scr2 Col2 Row 20", 20, 28, 44, 2, 20, 46,"C"},</v>
      </c>
      <c r="BL27" s="143" t="str">
        <f t="shared" si="8"/>
        <v>{Scr2Col3Row20, "Scr2 Col3 Row 20", 20, 55, 68, 2, 20, 73,"C"},</v>
      </c>
    </row>
    <row r="28" spans="1:64" x14ac:dyDescent="0.25">
      <c r="A28" s="141">
        <v>21</v>
      </c>
      <c r="B28" s="142" t="str">
        <f t="shared" si="0"/>
        <v>Scr2Col1Row21</v>
      </c>
      <c r="C28" s="173" t="s">
        <v>377</v>
      </c>
      <c r="D28" s="173"/>
      <c r="E28" s="173"/>
      <c r="F28" s="173"/>
      <c r="G28" s="173"/>
      <c r="H28" s="173"/>
      <c r="I28" s="136"/>
      <c r="J28" s="174">
        <v>21</v>
      </c>
      <c r="K28" s="174"/>
      <c r="L28" s="174"/>
      <c r="M28" s="174"/>
      <c r="N28" s="136"/>
      <c r="O28" s="142">
        <v>2</v>
      </c>
      <c r="P28" s="136"/>
      <c r="Q28" s="136"/>
      <c r="R28" s="142" t="s">
        <v>8</v>
      </c>
      <c r="S28" s="136"/>
      <c r="T28" s="144" t="str">
        <f t="shared" si="1"/>
        <v>Scr2Col2Row21</v>
      </c>
      <c r="U28" s="173" t="s">
        <v>401</v>
      </c>
      <c r="V28" s="173"/>
      <c r="W28" s="173"/>
      <c r="X28" s="173"/>
      <c r="Y28" s="173"/>
      <c r="Z28" s="173"/>
      <c r="AA28" s="136"/>
      <c r="AB28" s="174">
        <v>45</v>
      </c>
      <c r="AC28" s="174"/>
      <c r="AD28" s="174"/>
      <c r="AE28" s="174"/>
      <c r="AF28" s="136"/>
      <c r="AG28" s="142">
        <v>2</v>
      </c>
      <c r="AH28" s="136"/>
      <c r="AI28" s="136"/>
      <c r="AJ28" s="142" t="s">
        <v>8</v>
      </c>
      <c r="AK28" s="136"/>
      <c r="AL28" s="142" t="str">
        <f t="shared" si="2"/>
        <v>Scr2Col3Row21</v>
      </c>
      <c r="AM28" s="173" t="s">
        <v>425</v>
      </c>
      <c r="AN28" s="173"/>
      <c r="AO28" s="173"/>
      <c r="AP28" s="173"/>
      <c r="AQ28" s="173"/>
      <c r="AR28" s="173"/>
      <c r="AS28" s="136"/>
      <c r="AT28" s="174">
        <v>69</v>
      </c>
      <c r="AU28" s="174"/>
      <c r="AV28" s="174"/>
      <c r="AW28" s="174"/>
      <c r="AX28" s="136"/>
      <c r="AY28" s="142">
        <v>2</v>
      </c>
      <c r="AZ28" s="136"/>
      <c r="BA28" s="136"/>
      <c r="BB28" s="142" t="s">
        <v>8</v>
      </c>
      <c r="BC28" s="136"/>
      <c r="BD28" s="136">
        <f t="shared" si="3"/>
        <v>16</v>
      </c>
      <c r="BE28" s="136">
        <f t="shared" si="4"/>
        <v>16</v>
      </c>
      <c r="BF28" s="143">
        <f t="shared" si="5"/>
        <v>16</v>
      </c>
      <c r="BJ28" s="141" t="str">
        <f t="shared" si="6"/>
        <v>{Scr2Col1Row21, "Scr2 Col1 Row 21", 21, 1, 21, 2, 21, 19,"C"},</v>
      </c>
      <c r="BK28" s="136" t="str">
        <f t="shared" si="7"/>
        <v>{Scr2Col2Row21, "Scr2 Col2 Row 21", 21, 28, 45, 2, 21, 46,"C"},</v>
      </c>
      <c r="BL28" s="143" t="str">
        <f t="shared" si="8"/>
        <v>{Scr2Col3Row21, "Scr2 Col3 Row 21", 21, 55, 69, 2, 21, 73,"C"},</v>
      </c>
    </row>
    <row r="29" spans="1:64" x14ac:dyDescent="0.25">
      <c r="A29" s="141">
        <v>22</v>
      </c>
      <c r="B29" s="142" t="str">
        <f t="shared" si="0"/>
        <v>Scr2Col1Row22</v>
      </c>
      <c r="C29" s="173" t="s">
        <v>378</v>
      </c>
      <c r="D29" s="173"/>
      <c r="E29" s="173"/>
      <c r="F29" s="173"/>
      <c r="G29" s="173"/>
      <c r="H29" s="173"/>
      <c r="I29" s="136"/>
      <c r="J29" s="174">
        <v>22</v>
      </c>
      <c r="K29" s="174"/>
      <c r="L29" s="174"/>
      <c r="M29" s="174"/>
      <c r="N29" s="136"/>
      <c r="O29" s="142">
        <v>2</v>
      </c>
      <c r="P29" s="136"/>
      <c r="Q29" s="136"/>
      <c r="R29" s="142" t="s">
        <v>8</v>
      </c>
      <c r="S29" s="136"/>
      <c r="T29" s="144" t="str">
        <f t="shared" si="1"/>
        <v>Scr2Col2Row22</v>
      </c>
      <c r="U29" s="173" t="s">
        <v>402</v>
      </c>
      <c r="V29" s="173"/>
      <c r="W29" s="173"/>
      <c r="X29" s="173"/>
      <c r="Y29" s="173"/>
      <c r="Z29" s="173"/>
      <c r="AA29" s="136"/>
      <c r="AB29" s="174">
        <v>46</v>
      </c>
      <c r="AC29" s="174"/>
      <c r="AD29" s="174"/>
      <c r="AE29" s="174"/>
      <c r="AF29" s="136"/>
      <c r="AG29" s="142">
        <v>2</v>
      </c>
      <c r="AH29" s="136"/>
      <c r="AI29" s="136"/>
      <c r="AJ29" s="142" t="s">
        <v>8</v>
      </c>
      <c r="AK29" s="136"/>
      <c r="AL29" s="142" t="str">
        <f t="shared" si="2"/>
        <v>Scr2Col3Row22</v>
      </c>
      <c r="AM29" s="173" t="s">
        <v>426</v>
      </c>
      <c r="AN29" s="173"/>
      <c r="AO29" s="173"/>
      <c r="AP29" s="173"/>
      <c r="AQ29" s="173"/>
      <c r="AR29" s="173"/>
      <c r="AS29" s="136"/>
      <c r="AT29" s="174">
        <v>70</v>
      </c>
      <c r="AU29" s="174"/>
      <c r="AV29" s="174"/>
      <c r="AW29" s="174"/>
      <c r="AX29" s="136"/>
      <c r="AY29" s="142">
        <v>2</v>
      </c>
      <c r="AZ29" s="136"/>
      <c r="BA29" s="136"/>
      <c r="BB29" s="142" t="s">
        <v>8</v>
      </c>
      <c r="BC29" s="136"/>
      <c r="BD29" s="136">
        <f t="shared" si="3"/>
        <v>16</v>
      </c>
      <c r="BE29" s="136">
        <f t="shared" si="4"/>
        <v>16</v>
      </c>
      <c r="BF29" s="143">
        <f t="shared" si="5"/>
        <v>16</v>
      </c>
      <c r="BJ29" s="141" t="str">
        <f t="shared" si="6"/>
        <v>{Scr2Col1Row22, "Scr2 Col1 Row 22", 22, 1, 22, 2, 22, 19,"C"},</v>
      </c>
      <c r="BK29" s="136" t="str">
        <f t="shared" si="7"/>
        <v>{Scr2Col2Row22, "Scr2 Col2 Row 22", 22, 28, 46, 2, 22, 46,"C"},</v>
      </c>
      <c r="BL29" s="143" t="str">
        <f t="shared" si="8"/>
        <v>{Scr2Col3Row22, "Scr2 Col3 Row 22", 22, 55, 70, 2, 22, 73,"C"},</v>
      </c>
    </row>
    <row r="30" spans="1:64" x14ac:dyDescent="0.25">
      <c r="A30" s="141">
        <v>23</v>
      </c>
      <c r="B30" s="142" t="str">
        <f t="shared" si="0"/>
        <v>Scr2Col1Row23</v>
      </c>
      <c r="C30" s="173" t="s">
        <v>379</v>
      </c>
      <c r="D30" s="173"/>
      <c r="E30" s="173"/>
      <c r="F30" s="173"/>
      <c r="G30" s="173"/>
      <c r="H30" s="173"/>
      <c r="I30" s="136"/>
      <c r="J30" s="174">
        <v>23</v>
      </c>
      <c r="K30" s="174"/>
      <c r="L30" s="174"/>
      <c r="M30" s="174"/>
      <c r="N30" s="136"/>
      <c r="O30" s="142">
        <v>2</v>
      </c>
      <c r="P30" s="136"/>
      <c r="Q30" s="136"/>
      <c r="R30" s="142" t="s">
        <v>8</v>
      </c>
      <c r="S30" s="136"/>
      <c r="T30" s="144" t="str">
        <f t="shared" si="1"/>
        <v>Scr2Col2Row23</v>
      </c>
      <c r="U30" s="173" t="s">
        <v>403</v>
      </c>
      <c r="V30" s="173"/>
      <c r="W30" s="173"/>
      <c r="X30" s="173"/>
      <c r="Y30" s="173"/>
      <c r="Z30" s="173"/>
      <c r="AA30" s="136"/>
      <c r="AB30" s="174">
        <v>47</v>
      </c>
      <c r="AC30" s="174"/>
      <c r="AD30" s="174"/>
      <c r="AE30" s="174"/>
      <c r="AF30" s="136"/>
      <c r="AG30" s="142">
        <v>4</v>
      </c>
      <c r="AH30" s="136"/>
      <c r="AI30" s="136"/>
      <c r="AJ30" s="142" t="s">
        <v>184</v>
      </c>
      <c r="AK30" s="136"/>
      <c r="AL30" s="142" t="str">
        <f t="shared" si="2"/>
        <v>Scr2Col3Row23</v>
      </c>
      <c r="AM30" s="173" t="s">
        <v>427</v>
      </c>
      <c r="AN30" s="173"/>
      <c r="AO30" s="173"/>
      <c r="AP30" s="173"/>
      <c r="AQ30" s="173"/>
      <c r="AR30" s="173"/>
      <c r="AS30" s="136"/>
      <c r="AT30" s="174">
        <v>71</v>
      </c>
      <c r="AU30" s="174"/>
      <c r="AV30" s="174"/>
      <c r="AW30" s="174"/>
      <c r="AX30" s="136"/>
      <c r="AY30" s="142">
        <v>4</v>
      </c>
      <c r="AZ30" s="136"/>
      <c r="BA30" s="136"/>
      <c r="BB30" s="142" t="s">
        <v>184</v>
      </c>
      <c r="BC30" s="136"/>
      <c r="BD30" s="136">
        <f t="shared" si="3"/>
        <v>16</v>
      </c>
      <c r="BE30" s="136">
        <f t="shared" si="4"/>
        <v>16</v>
      </c>
      <c r="BF30" s="143">
        <f t="shared" si="5"/>
        <v>16</v>
      </c>
      <c r="BJ30" s="141" t="str">
        <f t="shared" si="6"/>
        <v>{Scr2Col1Row23, "Scr2 Col1 Row 23", 23, 1, 23, 2, 23, 19,"C"},</v>
      </c>
      <c r="BK30" s="136" t="str">
        <f t="shared" si="7"/>
        <v>{Scr2Col2Row23, "Scr2 Col2 Row 23", 23, 28, 47, 4, 23, 46,"X"},</v>
      </c>
      <c r="BL30" s="143" t="str">
        <f t="shared" si="8"/>
        <v>{Scr2Col3Row23, "Scr2 Col3 Row 23", 23, 55, 71, 4, 23, 73,"X"},</v>
      </c>
    </row>
    <row r="31" spans="1:64" ht="15.75" thickBot="1" x14ac:dyDescent="0.3">
      <c r="A31" s="145">
        <v>24</v>
      </c>
      <c r="B31" s="146" t="str">
        <f t="shared" si="0"/>
        <v>Scr2Col1Row24</v>
      </c>
      <c r="C31" s="177" t="s">
        <v>380</v>
      </c>
      <c r="D31" s="177"/>
      <c r="E31" s="177"/>
      <c r="F31" s="177"/>
      <c r="G31" s="177"/>
      <c r="H31" s="177"/>
      <c r="I31" s="147"/>
      <c r="J31" s="178">
        <v>24</v>
      </c>
      <c r="K31" s="178"/>
      <c r="L31" s="178"/>
      <c r="M31" s="178"/>
      <c r="N31" s="147"/>
      <c r="O31" s="146">
        <v>2</v>
      </c>
      <c r="P31" s="147"/>
      <c r="Q31" s="147"/>
      <c r="R31" s="146" t="s">
        <v>8</v>
      </c>
      <c r="S31" s="147"/>
      <c r="T31" s="148" t="str">
        <f t="shared" si="1"/>
        <v>Scr2Col2Row24</v>
      </c>
      <c r="U31" s="177" t="s">
        <v>404</v>
      </c>
      <c r="V31" s="177"/>
      <c r="W31" s="177"/>
      <c r="X31" s="177"/>
      <c r="Y31" s="177"/>
      <c r="Z31" s="177"/>
      <c r="AA31" s="147"/>
      <c r="AB31" s="178">
        <v>48</v>
      </c>
      <c r="AC31" s="178"/>
      <c r="AD31" s="178"/>
      <c r="AE31" s="178"/>
      <c r="AF31" s="147"/>
      <c r="AG31" s="146">
        <v>4</v>
      </c>
      <c r="AH31" s="147"/>
      <c r="AI31" s="147"/>
      <c r="AJ31" s="146" t="s">
        <v>184</v>
      </c>
      <c r="AK31" s="147"/>
      <c r="AL31" s="146" t="str">
        <f t="shared" si="2"/>
        <v>Scr2Col3Row24</v>
      </c>
      <c r="AM31" s="177" t="s">
        <v>428</v>
      </c>
      <c r="AN31" s="177"/>
      <c r="AO31" s="177"/>
      <c r="AP31" s="177"/>
      <c r="AQ31" s="177"/>
      <c r="AR31" s="177"/>
      <c r="AS31" s="147"/>
      <c r="AT31" s="178">
        <v>72</v>
      </c>
      <c r="AU31" s="178"/>
      <c r="AV31" s="178"/>
      <c r="AW31" s="178"/>
      <c r="AX31" s="147"/>
      <c r="AY31" s="146">
        <v>4</v>
      </c>
      <c r="AZ31" s="147"/>
      <c r="BA31" s="147"/>
      <c r="BB31" s="146" t="s">
        <v>184</v>
      </c>
      <c r="BC31" s="147"/>
      <c r="BD31" s="147">
        <f t="shared" si="3"/>
        <v>16</v>
      </c>
      <c r="BE31" s="147">
        <f t="shared" si="4"/>
        <v>16</v>
      </c>
      <c r="BF31" s="149">
        <f t="shared" si="5"/>
        <v>16</v>
      </c>
      <c r="BJ31" s="145" t="str">
        <f t="shared" si="6"/>
        <v>{Scr2Col1Row24, "Scr2 Col1 Row 24", 24, 1, 24, 2, 24, 19,"C"},</v>
      </c>
      <c r="BK31" s="147" t="str">
        <f t="shared" si="7"/>
        <v>{Scr2Col2Row24, "Scr2 Col2 Row 24", 24, 28, 48, 4, 24, 46,"X"},</v>
      </c>
      <c r="BL31" s="149" t="str">
        <f t="shared" si="8"/>
        <v>{Scr2Col3Row24, "Scr2 Col3 Row 24", 24, 55, 72, 4, 24, 73,"X"},</v>
      </c>
    </row>
    <row r="32" spans="1:64" x14ac:dyDescent="0.25">
      <c r="A32" s="135">
        <v>25</v>
      </c>
      <c r="C32" s="179" t="s">
        <v>16</v>
      </c>
      <c r="D32" s="180"/>
      <c r="E32" s="180"/>
      <c r="F32" s="180"/>
      <c r="G32" s="180"/>
      <c r="H32" s="180"/>
      <c r="I32" s="180"/>
      <c r="J32" s="180"/>
      <c r="K32" s="180"/>
      <c r="L32" s="180"/>
      <c r="M32" s="180"/>
      <c r="N32" s="180"/>
      <c r="O32" s="180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0"/>
      <c r="AA32" s="180"/>
      <c r="AB32" s="180"/>
      <c r="AC32" s="180"/>
      <c r="AD32" s="180"/>
      <c r="AE32" s="180"/>
      <c r="AF32" s="180"/>
      <c r="AG32" s="180"/>
      <c r="AH32" s="180"/>
      <c r="AI32" s="180"/>
      <c r="AJ32" s="180"/>
      <c r="AK32" s="180"/>
      <c r="AL32" s="180"/>
      <c r="AM32" s="180"/>
      <c r="AN32" s="180"/>
      <c r="AO32" s="180"/>
      <c r="AP32" s="180"/>
      <c r="AQ32" s="180"/>
      <c r="AR32" s="180"/>
      <c r="AS32" s="180"/>
      <c r="AT32" s="180"/>
      <c r="AU32" s="180"/>
      <c r="AV32" s="180"/>
      <c r="AW32" s="180"/>
      <c r="AX32" s="180"/>
      <c r="AY32" s="180"/>
      <c r="AZ32" s="180"/>
      <c r="BA32" s="180"/>
      <c r="BB32" s="180"/>
      <c r="BC32" s="180"/>
      <c r="BD32" s="181"/>
    </row>
    <row r="33" spans="1:75" x14ac:dyDescent="0.25">
      <c r="AJ33" s="136"/>
    </row>
    <row r="34" spans="1:75" x14ac:dyDescent="0.25">
      <c r="A34" s="135">
        <v>1</v>
      </c>
      <c r="B34" s="135">
        <v>2</v>
      </c>
      <c r="C34" s="135">
        <v>3</v>
      </c>
      <c r="D34" s="135">
        <v>4</v>
      </c>
      <c r="E34" s="135">
        <v>5</v>
      </c>
      <c r="F34" s="135">
        <v>6</v>
      </c>
      <c r="G34" s="135">
        <v>7</v>
      </c>
      <c r="H34" s="135">
        <v>8</v>
      </c>
      <c r="I34" s="135">
        <v>9</v>
      </c>
      <c r="J34" s="135">
        <v>10</v>
      </c>
      <c r="K34" s="135">
        <v>11</v>
      </c>
      <c r="L34" s="135">
        <v>12</v>
      </c>
      <c r="M34" s="135">
        <v>13</v>
      </c>
      <c r="N34" s="135">
        <v>14</v>
      </c>
      <c r="O34" s="135">
        <v>15</v>
      </c>
      <c r="P34" s="135">
        <v>16</v>
      </c>
      <c r="Q34" s="135">
        <v>17</v>
      </c>
      <c r="R34" s="135">
        <v>18</v>
      </c>
      <c r="S34" s="135">
        <v>19</v>
      </c>
      <c r="T34" s="135">
        <v>20</v>
      </c>
      <c r="U34" s="135">
        <v>21</v>
      </c>
      <c r="V34" s="135">
        <v>22</v>
      </c>
      <c r="W34" s="135">
        <v>23</v>
      </c>
      <c r="X34" s="135">
        <v>24</v>
      </c>
      <c r="Y34" s="135">
        <v>25</v>
      </c>
      <c r="Z34" s="135">
        <v>26</v>
      </c>
      <c r="AA34" s="135">
        <v>27</v>
      </c>
      <c r="AB34" s="135">
        <v>28</v>
      </c>
      <c r="AC34" s="135">
        <v>29</v>
      </c>
      <c r="AD34" s="135">
        <v>30</v>
      </c>
      <c r="AE34" s="135">
        <v>31</v>
      </c>
      <c r="AF34" s="135">
        <v>32</v>
      </c>
      <c r="AG34" s="135">
        <v>33</v>
      </c>
      <c r="AH34" s="135">
        <v>34</v>
      </c>
      <c r="AI34" s="135">
        <v>35</v>
      </c>
      <c r="AJ34" s="135">
        <v>36</v>
      </c>
      <c r="AK34" s="135">
        <v>37</v>
      </c>
      <c r="AL34" s="135">
        <v>38</v>
      </c>
      <c r="AM34" s="135">
        <v>39</v>
      </c>
      <c r="AN34" s="135">
        <v>40</v>
      </c>
      <c r="AO34" s="135">
        <v>41</v>
      </c>
      <c r="AP34" s="135">
        <v>42</v>
      </c>
      <c r="AQ34" s="135">
        <v>43</v>
      </c>
      <c r="AR34" s="135">
        <v>44</v>
      </c>
      <c r="AS34" s="135">
        <v>45</v>
      </c>
      <c r="AT34" s="135">
        <v>46</v>
      </c>
      <c r="AU34" s="135">
        <v>47</v>
      </c>
      <c r="AV34" s="135">
        <v>48</v>
      </c>
      <c r="AW34" s="135">
        <v>49</v>
      </c>
      <c r="AX34" s="135">
        <v>50</v>
      </c>
      <c r="AY34" s="135">
        <v>51</v>
      </c>
      <c r="AZ34" s="135">
        <v>52</v>
      </c>
      <c r="BA34" s="135">
        <v>53</v>
      </c>
      <c r="BB34" s="135">
        <v>54</v>
      </c>
      <c r="BC34" s="135">
        <v>55</v>
      </c>
      <c r="BD34" s="135">
        <v>56</v>
      </c>
      <c r="BE34" s="135">
        <v>57</v>
      </c>
      <c r="BF34" s="135">
        <v>58</v>
      </c>
      <c r="BJ34" s="135">
        <v>62</v>
      </c>
    </row>
    <row r="36" spans="1:75" x14ac:dyDescent="0.25">
      <c r="BJ36" s="135" t="s">
        <v>164</v>
      </c>
    </row>
    <row r="37" spans="1:75" x14ac:dyDescent="0.25">
      <c r="BJ37" s="134" t="str">
        <f>$B$8&amp;", "&amp;$T$8&amp;", "&amp;$AL$8&amp;", "&amp;$B$9&amp;", "&amp;$T$9&amp;", "&amp;$AL$9&amp;", "&amp;$B$10&amp;", "&amp;$T$10&amp;", "&amp;$AL$10&amp;", "&amp;$B$11&amp;", "&amp;$T$11&amp;", "&amp;$AL$11&amp;", "&amp;$B$12&amp;", "&amp;$T$12&amp;", "&amp;$AL$12&amp;", "&amp;$B$13&amp;", "&amp;$T$13&amp;", "&amp;$AL$13&amp;", "&amp;$B$14&amp;", "&amp;$T$14&amp;", "&amp;$AL$14&amp;", "&amp;$B$15&amp;", "&amp;$T$15&amp;", "&amp;$AL$15&amp;","</f>
        <v>Scr2Col1Row1, Scr2Col2Row1, Scr2Col3Row1, Scr2Col1Row2, Scr2Col2Row2, Scr2Col3Row2, Scr2Col1Row3, Scr2Col2Row3, Scr2Col3Row3, Scr2Col1Row4, Scr2Col2Row4, Scr2Col3Row4, Scr2Col1Row5, Scr2Col2Row5, Scr2Col3Row5, Scr2Col1Row6, Scr2Col2Row6, Scr2Col3Row6, Scr2Col1Row7, Scr2Col2Row7, Scr2Col3Row7, Scr2Col1Row8, Scr2Col2Row8, Scr2Col3Row8,</v>
      </c>
    </row>
    <row r="38" spans="1:75" x14ac:dyDescent="0.25">
      <c r="BJ38" s="117" t="str">
        <f>$B$16&amp;", "&amp;$T$16&amp;", "&amp;$AL$16&amp;", "&amp;$B$17&amp;", "&amp;$T$17&amp;", "&amp;$AL$18&amp;", "&amp;$B$18&amp;", "&amp;$T$18&amp;", "&amp;$AL$17&amp;", "&amp;$B$19&amp;", "&amp;$T$19&amp;", "&amp;$AL$19&amp;", "&amp;$B$20&amp;", "&amp;$T$20&amp;", "&amp;$AL$20&amp;", "&amp;$B$21&amp;", "&amp;$T$21&amp;", "&amp;$AL$21&amp;", "&amp;$B$22&amp;", "&amp;$T$22&amp;", "&amp;$AL$22&amp;", "&amp;$B$23&amp;", "&amp;$T$23&amp;", "&amp;$AL$23&amp;","</f>
        <v>Scr2Col1Row9, Scr2Col2Row9, Scr2Col3Row9, Scr2Col1Row10, Scr2Col2Row10, Scr2Col3Row11, Scr2Col1Row11, Scr2Col2Row11, Scr2Col3Row10, Scr2Col1Row12, Scr2Col2Row12, Scr2Col3Row12, Scr2Col1Row13, Scr2Col2Row13, Scr2Col3Row13, Scr2Col1Row14, Scr2Col2Row14, Scr2Col3Row14, Scr2Col1Row15, Scr2Col2Row15, Scr2Col3Row15, Scr2Col1Row16, Scr2Col2Row16, Scr2Col3Row16,</v>
      </c>
    </row>
    <row r="39" spans="1:75" x14ac:dyDescent="0.25">
      <c r="BJ39" s="117" t="str">
        <f>$B$24&amp;", "&amp;$T$24&amp;", "&amp;$AL$24&amp;", "&amp;$B$25&amp;", "&amp;$T$25&amp;", "&amp;$AL$25&amp;", "&amp;$B$26&amp;", "&amp;$T$26&amp;", "&amp;$AL$26&amp;", "&amp;$B$27&amp;", "&amp;$T$27&amp;", "&amp;$AL$27&amp;", "&amp;$B$28&amp;", "&amp;$T$28&amp;", "&amp;$AL$28&amp;", "&amp;$B$29&amp;", "&amp;$T$29&amp;", "&amp;$AL$29&amp;", "&amp;$B$30&amp;", "&amp;$T$30&amp;", "&amp;$AL$30&amp;", "&amp;$B$31&amp;", "&amp;$T$31&amp;", "&amp;$AL$31&amp;","</f>
        <v>Scr2Col1Row17, Scr2Col2Row17, Scr2Col3Row17, Scr2Col1Row18, Scr2Col2Row18, Scr2Col3Row18, Scr2Col1Row19, Scr2Col2Row19, Scr2Col3Row19, Scr2Col1Row20, Scr2Col2Row20, Scr2Col3Row20, Scr2Col1Row21, Scr2Col2Row21, Scr2Col3Row21, Scr2Col1Row22, Scr2Col2Row22, Scr2Col3Row22, Scr2Col1Row23, Scr2Col2Row23, Scr2Col3Row23, Scr2Col1Row24, Scr2Col2Row24, Scr2Col3Row24,</v>
      </c>
    </row>
    <row r="40" spans="1:75" x14ac:dyDescent="0.25">
      <c r="BW40" s="135" t="s">
        <v>190</v>
      </c>
    </row>
    <row r="42" spans="1:75" x14ac:dyDescent="0.25">
      <c r="BJ42" s="136"/>
    </row>
    <row r="43" spans="1:75" x14ac:dyDescent="0.25">
      <c r="BJ43" s="136"/>
    </row>
    <row r="44" spans="1:75" x14ac:dyDescent="0.25">
      <c r="BJ44" s="136"/>
    </row>
  </sheetData>
  <mergeCells count="145">
    <mergeCell ref="C27:H27"/>
    <mergeCell ref="C32:BD32"/>
    <mergeCell ref="J31:M31"/>
    <mergeCell ref="AB31:AE31"/>
    <mergeCell ref="AM31:AR31"/>
    <mergeCell ref="AT31:AW31"/>
    <mergeCell ref="J30:M30"/>
    <mergeCell ref="AB30:AE30"/>
    <mergeCell ref="AM30:AR30"/>
    <mergeCell ref="AT30:AW30"/>
    <mergeCell ref="C30:H30"/>
    <mergeCell ref="C31:H31"/>
    <mergeCell ref="U30:Z30"/>
    <mergeCell ref="U31:Z31"/>
    <mergeCell ref="J27:M27"/>
    <mergeCell ref="U27:Z27"/>
    <mergeCell ref="AB27:AE27"/>
    <mergeCell ref="AM27:AR27"/>
    <mergeCell ref="AT27:AW27"/>
    <mergeCell ref="C29:H29"/>
    <mergeCell ref="C28:H28"/>
    <mergeCell ref="J26:M26"/>
    <mergeCell ref="U26:Z26"/>
    <mergeCell ref="AB26:AE26"/>
    <mergeCell ref="AM26:AR26"/>
    <mergeCell ref="AT26:AW26"/>
    <mergeCell ref="J29:M29"/>
    <mergeCell ref="U29:Z29"/>
    <mergeCell ref="AB29:AE29"/>
    <mergeCell ref="AM29:AR29"/>
    <mergeCell ref="AT29:AW29"/>
    <mergeCell ref="J28:M28"/>
    <mergeCell ref="U28:Z28"/>
    <mergeCell ref="AB28:AE28"/>
    <mergeCell ref="AM28:AR28"/>
    <mergeCell ref="AT28:AW28"/>
    <mergeCell ref="C23:H23"/>
    <mergeCell ref="J23:M23"/>
    <mergeCell ref="U23:Z23"/>
    <mergeCell ref="AB23:AE23"/>
    <mergeCell ref="AM23:AR23"/>
    <mergeCell ref="AT23:AW23"/>
    <mergeCell ref="C26:H26"/>
    <mergeCell ref="J22:M22"/>
    <mergeCell ref="U22:Z22"/>
    <mergeCell ref="AB22:AE22"/>
    <mergeCell ref="AM22:AR22"/>
    <mergeCell ref="AT22:AW22"/>
    <mergeCell ref="J25:M25"/>
    <mergeCell ref="U25:Z25"/>
    <mergeCell ref="AB25:AE25"/>
    <mergeCell ref="AM25:AR25"/>
    <mergeCell ref="AT25:AW25"/>
    <mergeCell ref="J24:M24"/>
    <mergeCell ref="U24:Z24"/>
    <mergeCell ref="AB24:AE24"/>
    <mergeCell ref="AM24:AR24"/>
    <mergeCell ref="AT24:AW24"/>
    <mergeCell ref="C25:H25"/>
    <mergeCell ref="C24:H24"/>
    <mergeCell ref="J19:M19"/>
    <mergeCell ref="U19:Z19"/>
    <mergeCell ref="AB19:AE19"/>
    <mergeCell ref="AM19:AR19"/>
    <mergeCell ref="AT19:AW19"/>
    <mergeCell ref="C22:H22"/>
    <mergeCell ref="J18:M18"/>
    <mergeCell ref="AB18:AE18"/>
    <mergeCell ref="AM18:AR18"/>
    <mergeCell ref="AT18:AW18"/>
    <mergeCell ref="U18:Z18"/>
    <mergeCell ref="C21:H21"/>
    <mergeCell ref="C19:H19"/>
    <mergeCell ref="C20:H20"/>
    <mergeCell ref="J21:M21"/>
    <mergeCell ref="U21:Z21"/>
    <mergeCell ref="AB21:AE21"/>
    <mergeCell ref="AM21:AR21"/>
    <mergeCell ref="AT21:AW21"/>
    <mergeCell ref="J20:M20"/>
    <mergeCell ref="U20:Z20"/>
    <mergeCell ref="AB20:AE20"/>
    <mergeCell ref="AM20:AR20"/>
    <mergeCell ref="AT20:AW20"/>
    <mergeCell ref="J17:M17"/>
    <mergeCell ref="U17:Z17"/>
    <mergeCell ref="AB17:AE17"/>
    <mergeCell ref="AM17:AR17"/>
    <mergeCell ref="AT17:AW17"/>
    <mergeCell ref="C18:H18"/>
    <mergeCell ref="J16:M16"/>
    <mergeCell ref="U16:Z16"/>
    <mergeCell ref="AB16:AE16"/>
    <mergeCell ref="AM16:AR16"/>
    <mergeCell ref="AT16:AW16"/>
    <mergeCell ref="C17:H17"/>
    <mergeCell ref="C16:H16"/>
    <mergeCell ref="AT14:AW14"/>
    <mergeCell ref="C15:H15"/>
    <mergeCell ref="J13:M13"/>
    <mergeCell ref="U13:Z13"/>
    <mergeCell ref="AB13:AE13"/>
    <mergeCell ref="AM13:AR13"/>
    <mergeCell ref="AT13:AW13"/>
    <mergeCell ref="C12:H12"/>
    <mergeCell ref="J12:M12"/>
    <mergeCell ref="C13:H13"/>
    <mergeCell ref="C14:H14"/>
    <mergeCell ref="J15:M15"/>
    <mergeCell ref="U15:Z15"/>
    <mergeCell ref="AB15:AE15"/>
    <mergeCell ref="AM15:AR15"/>
    <mergeCell ref="AT15:AW15"/>
    <mergeCell ref="J14:M14"/>
    <mergeCell ref="U14:Z14"/>
    <mergeCell ref="AB14:AE14"/>
    <mergeCell ref="AM14:AR14"/>
    <mergeCell ref="U10:Z10"/>
    <mergeCell ref="AB12:AE12"/>
    <mergeCell ref="AM12:AR12"/>
    <mergeCell ref="AT12:AW12"/>
    <mergeCell ref="U11:Z11"/>
    <mergeCell ref="U12:Z12"/>
    <mergeCell ref="C11:H11"/>
    <mergeCell ref="J11:M11"/>
    <mergeCell ref="AB11:AE11"/>
    <mergeCell ref="AM11:AR11"/>
    <mergeCell ref="AT11:AW11"/>
    <mergeCell ref="C10:H10"/>
    <mergeCell ref="J10:M10"/>
    <mergeCell ref="AB10:AE10"/>
    <mergeCell ref="AM10:AR10"/>
    <mergeCell ref="AT10:AW10"/>
    <mergeCell ref="C9:H9"/>
    <mergeCell ref="J9:M9"/>
    <mergeCell ref="U9:Z9"/>
    <mergeCell ref="AB9:AE9"/>
    <mergeCell ref="AM9:AR9"/>
    <mergeCell ref="AT9:AW9"/>
    <mergeCell ref="C8:H8"/>
    <mergeCell ref="J8:M8"/>
    <mergeCell ref="U8:Z8"/>
    <mergeCell ref="AB8:AE8"/>
    <mergeCell ref="AM8:AR8"/>
    <mergeCell ref="AT8:AW8"/>
  </mergeCells>
  <conditionalFormatting sqref="C8:C31 U8:U31 AM8:AR31">
    <cfRule type="cellIs" dxfId="19" priority="39" operator="lessThan">
      <formula>17</formula>
    </cfRule>
  </conditionalFormatting>
  <conditionalFormatting sqref="C8:C31 U8:U31 AM8:AM31">
    <cfRule type="cellIs" dxfId="18" priority="38" operator="lessThan">
      <formula>16</formula>
    </cfRule>
  </conditionalFormatting>
  <conditionalFormatting sqref="BD9 BD12 BD15 BD21 BD27 BD18 BD24 BD30">
    <cfRule type="cellIs" dxfId="17" priority="37" stopIfTrue="1" operator="lessThan">
      <formula>"&lt;16"</formula>
    </cfRule>
  </conditionalFormatting>
  <conditionalFormatting sqref="BD8:BF31">
    <cfRule type="cellIs" dxfId="16" priority="35" operator="greaterThan">
      <formula>16</formula>
    </cfRule>
    <cfRule type="cellIs" dxfId="15" priority="36" operator="lessThan">
      <formula>17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Button2_Click">
                <anchor moveWithCells="1" sizeWithCells="1">
                  <from>
                    <xdr:col>60</xdr:col>
                    <xdr:colOff>200025</xdr:colOff>
                    <xdr:row>0</xdr:row>
                    <xdr:rowOff>171450</xdr:rowOff>
                  </from>
                  <to>
                    <xdr:col>61</xdr:col>
                    <xdr:colOff>1800225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M72"/>
  <sheetViews>
    <sheetView tabSelected="1" topLeftCell="AB37" zoomScale="85" zoomScaleNormal="85" workbookViewId="0">
      <selection activeCell="BJ69" sqref="BJ69"/>
    </sheetView>
  </sheetViews>
  <sheetFormatPr defaultColWidth="8.85546875" defaultRowHeight="15" x14ac:dyDescent="0.25"/>
  <cols>
    <col min="1" max="1" width="3.7109375" style="84" bestFit="1" customWidth="1"/>
    <col min="2" max="2" width="20.140625" style="84" bestFit="1" customWidth="1"/>
    <col min="3" max="7" width="2.7109375" style="84" bestFit="1" customWidth="1"/>
    <col min="8" max="8" width="3.7109375" style="84" bestFit="1" customWidth="1"/>
    <col min="9" max="9" width="2.7109375" style="84" bestFit="1" customWidth="1"/>
    <col min="10" max="14" width="3.7109375" style="84" bestFit="1" customWidth="1"/>
    <col min="15" max="15" width="8" style="84" bestFit="1" customWidth="1"/>
    <col min="16" max="19" width="3.7109375" style="84" bestFit="1" customWidth="1"/>
    <col min="20" max="20" width="20.140625" style="84" bestFit="1" customWidth="1"/>
    <col min="21" max="32" width="3.7109375" style="84" bestFit="1" customWidth="1"/>
    <col min="33" max="33" width="8" style="84" bestFit="1" customWidth="1"/>
    <col min="34" max="37" width="3.7109375" style="84" bestFit="1" customWidth="1"/>
    <col min="38" max="38" width="20.140625" style="84" bestFit="1" customWidth="1"/>
    <col min="39" max="50" width="3.7109375" style="84" bestFit="1" customWidth="1"/>
    <col min="51" max="51" width="8" style="84" bestFit="1" customWidth="1"/>
    <col min="52" max="54" width="3.7109375" style="84" bestFit="1" customWidth="1"/>
    <col min="55" max="58" width="3.7109375" style="85" bestFit="1" customWidth="1"/>
    <col min="59" max="61" width="3" style="85" customWidth="1"/>
    <col min="62" max="62" width="57.140625" style="85" customWidth="1"/>
    <col min="63" max="64" width="61.5703125" style="84" customWidth="1"/>
    <col min="65" max="16384" width="8.85546875" style="84"/>
  </cols>
  <sheetData>
    <row r="1" spans="1:65" s="79" customFormat="1" x14ac:dyDescent="0.25">
      <c r="BC1" s="80"/>
      <c r="BD1" s="80"/>
      <c r="BE1" s="80"/>
      <c r="BF1" s="80"/>
      <c r="BG1" s="80"/>
      <c r="BH1" s="80"/>
      <c r="BI1" s="80"/>
      <c r="BJ1" s="80"/>
    </row>
    <row r="2" spans="1:65" s="79" customFormat="1" x14ac:dyDescent="0.25"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U2" s="185"/>
      <c r="V2" s="185"/>
      <c r="W2" s="185"/>
      <c r="X2" s="185"/>
      <c r="Y2" s="185"/>
      <c r="Z2" s="185"/>
      <c r="AB2" s="82"/>
      <c r="AC2" s="82"/>
      <c r="AD2" s="81"/>
      <c r="AE2" s="81"/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V2" s="185"/>
      <c r="AW2" s="185"/>
      <c r="AX2" s="185"/>
      <c r="AY2" s="185"/>
      <c r="AZ2" s="185"/>
      <c r="BA2" s="185"/>
      <c r="BC2" s="80"/>
      <c r="BD2" s="80"/>
      <c r="BE2" s="80"/>
      <c r="BF2" s="80"/>
      <c r="BG2" s="80"/>
      <c r="BH2" s="80"/>
      <c r="BI2" s="80"/>
      <c r="BJ2" s="80"/>
      <c r="BK2" s="98"/>
    </row>
    <row r="3" spans="1:65" s="79" customFormat="1" x14ac:dyDescent="0.25">
      <c r="AY3" s="83"/>
      <c r="BC3" s="80"/>
      <c r="BD3" s="80"/>
      <c r="BE3" s="80"/>
      <c r="BF3" s="80"/>
      <c r="BG3" s="80"/>
      <c r="BH3" s="80"/>
      <c r="BI3" s="80"/>
      <c r="BJ3" s="80"/>
    </row>
    <row r="4" spans="1:65" s="79" customFormat="1" x14ac:dyDescent="0.25">
      <c r="W4" s="82"/>
      <c r="X4" s="82"/>
      <c r="Y4" s="82"/>
      <c r="Z4" s="82"/>
      <c r="AC4" s="83"/>
      <c r="BC4" s="80"/>
      <c r="BD4" s="80"/>
      <c r="BE4" s="80"/>
      <c r="BF4" s="80"/>
      <c r="BG4" s="80"/>
      <c r="BH4" s="80"/>
      <c r="BI4" s="80"/>
      <c r="BJ4" s="80"/>
    </row>
    <row r="5" spans="1:65" s="79" customFormat="1" x14ac:dyDescent="0.25">
      <c r="W5" s="82"/>
      <c r="X5" s="82"/>
      <c r="Y5" s="82"/>
      <c r="Z5" s="82"/>
      <c r="AD5" s="83"/>
      <c r="BC5" s="80"/>
      <c r="BD5" s="80"/>
      <c r="BE5" s="80"/>
      <c r="BF5" s="80"/>
      <c r="BG5" s="80"/>
      <c r="BH5" s="80"/>
      <c r="BI5" s="80"/>
      <c r="BJ5" s="80"/>
    </row>
    <row r="6" spans="1:65" s="79" customFormat="1" x14ac:dyDescent="0.25">
      <c r="W6" s="82"/>
      <c r="X6" s="82"/>
      <c r="Y6" s="82"/>
      <c r="Z6" s="82"/>
      <c r="BC6" s="80"/>
      <c r="BD6" s="80"/>
      <c r="BE6" s="80"/>
      <c r="BF6" s="80"/>
      <c r="BG6" s="80"/>
      <c r="BH6" s="80"/>
      <c r="BI6" s="80"/>
      <c r="BJ6" s="80"/>
    </row>
    <row r="7" spans="1:65" ht="15.75" thickBot="1" x14ac:dyDescent="0.3">
      <c r="B7" s="84" t="s">
        <v>39</v>
      </c>
      <c r="C7" s="84">
        <v>1</v>
      </c>
      <c r="H7" s="84">
        <v>16</v>
      </c>
      <c r="J7" s="84">
        <v>19</v>
      </c>
      <c r="M7" s="84">
        <v>24</v>
      </c>
      <c r="O7" s="84" t="s">
        <v>7</v>
      </c>
      <c r="R7" s="84">
        <v>25</v>
      </c>
      <c r="T7" s="84" t="s">
        <v>39</v>
      </c>
      <c r="U7" s="84">
        <v>28</v>
      </c>
      <c r="Z7" s="84">
        <v>43</v>
      </c>
      <c r="AB7" s="84">
        <v>46</v>
      </c>
      <c r="AE7" s="84">
        <v>51</v>
      </c>
      <c r="AG7" s="84" t="s">
        <v>7</v>
      </c>
      <c r="AJ7" s="84">
        <v>52</v>
      </c>
      <c r="AL7" s="84" t="s">
        <v>39</v>
      </c>
      <c r="AM7" s="84">
        <v>55</v>
      </c>
      <c r="AR7" s="84">
        <v>70</v>
      </c>
      <c r="AT7" s="84">
        <v>73</v>
      </c>
      <c r="AW7" s="84">
        <v>78</v>
      </c>
      <c r="AY7" s="84" t="s">
        <v>7</v>
      </c>
      <c r="BB7" s="84">
        <v>79</v>
      </c>
      <c r="BJ7" s="85" t="s">
        <v>284</v>
      </c>
    </row>
    <row r="8" spans="1:65" ht="14.45" customHeight="1" x14ac:dyDescent="0.25">
      <c r="A8" s="84">
        <v>1</v>
      </c>
      <c r="B8" s="86" t="str">
        <f>SUBSTITUTE(PROPER(C8)," ","")</f>
        <v>Scr3Col1Row1</v>
      </c>
      <c r="C8" s="161" t="s">
        <v>429</v>
      </c>
      <c r="D8" s="161"/>
      <c r="E8" s="161"/>
      <c r="F8" s="161"/>
      <c r="G8" s="161"/>
      <c r="H8" s="161"/>
      <c r="I8" s="87"/>
      <c r="J8" s="186">
        <v>0</v>
      </c>
      <c r="K8" s="187"/>
      <c r="L8" s="187"/>
      <c r="M8" s="188"/>
      <c r="N8" s="87"/>
      <c r="O8" s="88">
        <v>1</v>
      </c>
      <c r="P8" s="89"/>
      <c r="Q8" s="87"/>
      <c r="R8" s="90" t="s">
        <v>14</v>
      </c>
      <c r="S8" s="154"/>
      <c r="T8" s="91" t="str">
        <f t="shared" ref="T8:T55" si="0">SUBSTITUTE(PROPER(U8)," ","")</f>
        <v>Scr3Col2Row1</v>
      </c>
      <c r="U8" s="189" t="s">
        <v>477</v>
      </c>
      <c r="V8" s="189"/>
      <c r="W8" s="189"/>
      <c r="X8" s="189"/>
      <c r="Y8" s="189"/>
      <c r="Z8" s="189"/>
      <c r="AA8" s="87"/>
      <c r="AB8" s="186">
        <v>0</v>
      </c>
      <c r="AC8" s="187"/>
      <c r="AD8" s="187"/>
      <c r="AE8" s="188"/>
      <c r="AF8" s="87"/>
      <c r="AG8" s="88">
        <v>0</v>
      </c>
      <c r="AH8" s="89"/>
      <c r="AI8" s="87"/>
      <c r="AJ8" s="91" t="s">
        <v>14</v>
      </c>
      <c r="AK8" s="87"/>
      <c r="AL8" s="91" t="str">
        <f>SUBSTITUTE(PROPER(AM8)," ","")</f>
        <v>Scr3Col3Row1</v>
      </c>
      <c r="AM8" s="190" t="s">
        <v>525</v>
      </c>
      <c r="AN8" s="190"/>
      <c r="AO8" s="190"/>
      <c r="AP8" s="190"/>
      <c r="AQ8" s="190"/>
      <c r="AR8" s="190"/>
      <c r="AS8" s="87"/>
      <c r="AT8" s="186">
        <v>0</v>
      </c>
      <c r="AU8" s="187"/>
      <c r="AV8" s="187"/>
      <c r="AW8" s="188"/>
      <c r="AX8" s="87"/>
      <c r="AY8" s="88">
        <v>1</v>
      </c>
      <c r="AZ8" s="89"/>
      <c r="BA8" s="87"/>
      <c r="BB8" s="91" t="s">
        <v>14</v>
      </c>
      <c r="BC8" s="92"/>
      <c r="BD8" s="92">
        <f>LEN(C14)</f>
        <v>15</v>
      </c>
      <c r="BE8" s="92">
        <f t="shared" ref="BE8:BE31" si="1">LEN(U9)</f>
        <v>15</v>
      </c>
      <c r="BF8" s="93">
        <f>LEN(AM8)</f>
        <v>15</v>
      </c>
      <c r="BJ8" s="94" t="str">
        <f>("{"&amp;B8&amp;", "&amp;""""&amp;C8&amp;""""&amp;", "&amp;A8&amp;", "&amp;$C$7&amp;", "&amp;0&amp;", "&amp;O8&amp;", "&amp;A8&amp;", "&amp;$J$7&amp;","&amp;""""&amp;R8&amp;""""&amp;"},")</f>
        <v>{Scr3Col1Row1, "Scr3 Col1 Row 1", 1, 1, 0, 1, 1, 19,"V"},</v>
      </c>
      <c r="BK8" s="92" t="str">
        <f t="shared" ref="BK8:BK31" si="2">("{"&amp;T8&amp;", "&amp;""""&amp;U8&amp;""""&amp;", "&amp;A8&amp;", "&amp;$U$7&amp;", "&amp;0&amp;", "&amp;AG8&amp;", "&amp;A8&amp;", "&amp;$AB$7&amp;","&amp;""""&amp;AJ8&amp;""""&amp;"},")</f>
        <v>{Scr3Col2Row1, "Scr3 Col2 Row 1", 1, 28, 0, 0, 1, 46,"V"},</v>
      </c>
      <c r="BL8" s="92" t="str">
        <f t="shared" ref="BL8:BL31" si="3">("{"&amp;AL8&amp;", "&amp;""""&amp;AM8&amp;""""&amp;", "&amp;A8&amp;", "&amp;$AM$7&amp;", "&amp;0&amp;", "&amp;AY8&amp;", "&amp;A8&amp;", "&amp;$AT$7&amp;","&amp;""""&amp;BB8&amp;""""&amp;"},")</f>
        <v>{Scr3Col3Row1, "Scr3 Col3 Row 1", 1, 55, 0, 1, 1, 73,"V"},</v>
      </c>
      <c r="BM8" s="95"/>
    </row>
    <row r="9" spans="1:65" x14ac:dyDescent="0.25">
      <c r="A9" s="84">
        <v>2</v>
      </c>
      <c r="B9" s="96" t="str">
        <f t="shared" ref="B9:B30" si="4">SUBSTITUTE(PROPER(C9)," ","")</f>
        <v>Scr3Col1Row2</v>
      </c>
      <c r="C9" s="165" t="s">
        <v>430</v>
      </c>
      <c r="D9" s="165"/>
      <c r="E9" s="165"/>
      <c r="F9" s="165"/>
      <c r="G9" s="165"/>
      <c r="H9" s="165"/>
      <c r="I9" s="79"/>
      <c r="J9" s="191">
        <v>0</v>
      </c>
      <c r="K9" s="192"/>
      <c r="L9" s="192"/>
      <c r="M9" s="193"/>
      <c r="N9" s="79"/>
      <c r="O9" s="97">
        <v>1</v>
      </c>
      <c r="P9" s="151"/>
      <c r="Q9" s="79"/>
      <c r="R9" s="99" t="s">
        <v>14</v>
      </c>
      <c r="S9" s="155"/>
      <c r="T9" s="100" t="str">
        <f t="shared" si="0"/>
        <v>Scr3Col2Row2</v>
      </c>
      <c r="U9" s="194" t="s">
        <v>478</v>
      </c>
      <c r="V9" s="194"/>
      <c r="W9" s="194"/>
      <c r="X9" s="194"/>
      <c r="Y9" s="194"/>
      <c r="Z9" s="194"/>
      <c r="AA9" s="79"/>
      <c r="AB9" s="191">
        <v>0</v>
      </c>
      <c r="AC9" s="192"/>
      <c r="AD9" s="192"/>
      <c r="AE9" s="193"/>
      <c r="AF9" s="79"/>
      <c r="AG9" s="97">
        <v>0</v>
      </c>
      <c r="AH9" s="151"/>
      <c r="AI9" s="79"/>
      <c r="AJ9" s="100" t="s">
        <v>14</v>
      </c>
      <c r="AK9" s="79"/>
      <c r="AL9" s="100" t="str">
        <f t="shared" ref="AL9:AL55" si="5">SUBSTITUTE(PROPER(AM9)," ","")</f>
        <v>Scr3Col3Row2</v>
      </c>
      <c r="AM9" s="195" t="s">
        <v>526</v>
      </c>
      <c r="AN9" s="195"/>
      <c r="AO9" s="195"/>
      <c r="AP9" s="195"/>
      <c r="AQ9" s="195"/>
      <c r="AR9" s="195"/>
      <c r="AS9" s="79"/>
      <c r="AT9" s="191">
        <v>0</v>
      </c>
      <c r="AU9" s="192"/>
      <c r="AV9" s="192"/>
      <c r="AW9" s="193"/>
      <c r="AX9" s="79"/>
      <c r="AY9" s="97">
        <v>0</v>
      </c>
      <c r="AZ9" s="151"/>
      <c r="BA9" s="79"/>
      <c r="BB9" s="100" t="s">
        <v>0</v>
      </c>
      <c r="BC9" s="80"/>
      <c r="BD9" s="80">
        <f>LEN(C15)</f>
        <v>15</v>
      </c>
      <c r="BE9" s="80">
        <f t="shared" si="1"/>
        <v>15</v>
      </c>
      <c r="BF9" s="101">
        <f t="shared" ref="BF9:BF31" si="6">LEN(AM9)</f>
        <v>15</v>
      </c>
      <c r="BJ9" s="102" t="str">
        <f t="shared" ref="BJ9:BJ55" si="7">("{"&amp;B9&amp;", "&amp;""""&amp;C9&amp;""""&amp;", "&amp;A9&amp;", "&amp;$C$7&amp;", "&amp;0&amp;", "&amp;O9&amp;", "&amp;A9&amp;", "&amp;$J$7&amp;","&amp;""""&amp;R9&amp;""""&amp;"},")</f>
        <v>{Scr3Col1Row2, "Scr3 Col1 Row 2", 2, 1, 0, 1, 2, 19,"V"},</v>
      </c>
      <c r="BK9" s="80" t="str">
        <f t="shared" si="2"/>
        <v>{Scr3Col2Row2, "Scr3 Col2 Row 2", 2, 28, 0, 0, 2, 46,"V"},</v>
      </c>
      <c r="BL9" s="80" t="str">
        <f t="shared" si="3"/>
        <v>{Scr3Col3Row2, "Scr3 Col3 Row 2", 2, 55, 0, 0, 2, 73,"A"},</v>
      </c>
      <c r="BM9" s="103"/>
    </row>
    <row r="10" spans="1:65" x14ac:dyDescent="0.25">
      <c r="A10" s="84">
        <v>3</v>
      </c>
      <c r="B10" s="96" t="str">
        <f t="shared" si="4"/>
        <v>Scr3Col1Row3</v>
      </c>
      <c r="C10" s="165" t="s">
        <v>431</v>
      </c>
      <c r="D10" s="165"/>
      <c r="E10" s="165"/>
      <c r="F10" s="165"/>
      <c r="G10" s="165"/>
      <c r="H10" s="165"/>
      <c r="I10" s="79"/>
      <c r="J10" s="191">
        <v>0</v>
      </c>
      <c r="K10" s="192"/>
      <c r="L10" s="192"/>
      <c r="M10" s="193"/>
      <c r="N10" s="79"/>
      <c r="O10" s="97">
        <v>1</v>
      </c>
      <c r="P10" s="151"/>
      <c r="Q10" s="79"/>
      <c r="R10" s="99" t="s">
        <v>14</v>
      </c>
      <c r="S10" s="155"/>
      <c r="T10" s="100" t="str">
        <f t="shared" si="0"/>
        <v>Scr3Col2Row3</v>
      </c>
      <c r="U10" s="194" t="s">
        <v>479</v>
      </c>
      <c r="V10" s="194"/>
      <c r="W10" s="194"/>
      <c r="X10" s="194"/>
      <c r="Y10" s="194"/>
      <c r="Z10" s="194"/>
      <c r="AA10" s="79"/>
      <c r="AB10" s="191">
        <v>0</v>
      </c>
      <c r="AC10" s="192"/>
      <c r="AD10" s="192"/>
      <c r="AE10" s="193"/>
      <c r="AF10" s="79"/>
      <c r="AG10" s="97">
        <v>0</v>
      </c>
      <c r="AH10" s="151"/>
      <c r="AI10" s="79"/>
      <c r="AJ10" s="100" t="s">
        <v>14</v>
      </c>
      <c r="AK10" s="79"/>
      <c r="AL10" s="100" t="str">
        <f t="shared" si="5"/>
        <v>Scr3Col3Row3</v>
      </c>
      <c r="AM10" s="195" t="s">
        <v>527</v>
      </c>
      <c r="AN10" s="195"/>
      <c r="AO10" s="195"/>
      <c r="AP10" s="195"/>
      <c r="AQ10" s="195"/>
      <c r="AR10" s="195"/>
      <c r="AS10" s="79"/>
      <c r="AT10" s="191">
        <v>0</v>
      </c>
      <c r="AU10" s="192"/>
      <c r="AV10" s="192"/>
      <c r="AW10" s="193"/>
      <c r="AX10" s="79"/>
      <c r="AY10" s="97">
        <v>0</v>
      </c>
      <c r="AZ10" s="151"/>
      <c r="BA10" s="79"/>
      <c r="BB10" s="100" t="s">
        <v>14</v>
      </c>
      <c r="BC10" s="80"/>
      <c r="BD10" s="80">
        <f>LEN(C16)</f>
        <v>15</v>
      </c>
      <c r="BE10" s="80">
        <f t="shared" si="1"/>
        <v>15</v>
      </c>
      <c r="BF10" s="101">
        <f t="shared" si="6"/>
        <v>15</v>
      </c>
      <c r="BJ10" s="102" t="str">
        <f t="shared" si="7"/>
        <v>{Scr3Col1Row3, "Scr3 Col1 Row 3", 3, 1, 0, 1, 3, 19,"V"},</v>
      </c>
      <c r="BK10" s="80" t="str">
        <f t="shared" si="2"/>
        <v>{Scr3Col2Row3, "Scr3 Col2 Row 3", 3, 28, 0, 0, 3, 46,"V"},</v>
      </c>
      <c r="BL10" s="80" t="str">
        <f t="shared" si="3"/>
        <v>{Scr3Col3Row3, "Scr3 Col3 Row 3", 3, 55, 0, 0, 3, 73,"V"},</v>
      </c>
      <c r="BM10" s="103"/>
    </row>
    <row r="11" spans="1:65" x14ac:dyDescent="0.25">
      <c r="A11" s="84">
        <v>4</v>
      </c>
      <c r="B11" s="96" t="str">
        <f t="shared" si="4"/>
        <v>Scr3Col1Row4</v>
      </c>
      <c r="C11" s="165" t="s">
        <v>432</v>
      </c>
      <c r="D11" s="165"/>
      <c r="E11" s="165"/>
      <c r="F11" s="165"/>
      <c r="G11" s="165"/>
      <c r="H11" s="165"/>
      <c r="I11" s="79"/>
      <c r="J11" s="191">
        <v>0</v>
      </c>
      <c r="K11" s="192"/>
      <c r="L11" s="192"/>
      <c r="M11" s="193"/>
      <c r="N11" s="79"/>
      <c r="O11" s="97">
        <v>1</v>
      </c>
      <c r="P11" s="151"/>
      <c r="Q11" s="79"/>
      <c r="R11" s="99" t="s">
        <v>14</v>
      </c>
      <c r="S11" s="155"/>
      <c r="T11" s="100" t="str">
        <f t="shared" si="0"/>
        <v>Scr3Col2Row4</v>
      </c>
      <c r="U11" s="194" t="s">
        <v>480</v>
      </c>
      <c r="V11" s="194"/>
      <c r="W11" s="194"/>
      <c r="X11" s="194"/>
      <c r="Y11" s="194"/>
      <c r="Z11" s="194"/>
      <c r="AA11" s="79"/>
      <c r="AB11" s="191">
        <v>0</v>
      </c>
      <c r="AC11" s="192"/>
      <c r="AD11" s="192"/>
      <c r="AE11" s="193"/>
      <c r="AF11" s="79"/>
      <c r="AG11" s="97">
        <v>0</v>
      </c>
      <c r="AH11" s="151"/>
      <c r="AI11" s="79"/>
      <c r="AJ11" s="100" t="s">
        <v>0</v>
      </c>
      <c r="AK11" s="79"/>
      <c r="AL11" s="100" t="str">
        <f t="shared" si="5"/>
        <v>Scr3Col3Row4</v>
      </c>
      <c r="AM11" s="195" t="s">
        <v>528</v>
      </c>
      <c r="AN11" s="195"/>
      <c r="AO11" s="195"/>
      <c r="AP11" s="195"/>
      <c r="AQ11" s="195"/>
      <c r="AR11" s="195"/>
      <c r="AS11" s="79"/>
      <c r="AT11" s="191">
        <v>0</v>
      </c>
      <c r="AU11" s="192"/>
      <c r="AV11" s="192"/>
      <c r="AW11" s="193"/>
      <c r="AX11" s="79"/>
      <c r="AY11" s="97">
        <v>0</v>
      </c>
      <c r="AZ11" s="151"/>
      <c r="BA11" s="79"/>
      <c r="BB11" s="100" t="s">
        <v>14</v>
      </c>
      <c r="BC11" s="80"/>
      <c r="BD11" s="80">
        <f t="shared" ref="BD11:BD16" si="8">LEN(C8)</f>
        <v>15</v>
      </c>
      <c r="BE11" s="80">
        <f t="shared" si="1"/>
        <v>15</v>
      </c>
      <c r="BF11" s="101">
        <f t="shared" si="6"/>
        <v>15</v>
      </c>
      <c r="BJ11" s="102" t="str">
        <f t="shared" si="7"/>
        <v>{Scr3Col1Row4, "Scr3 Col1 Row 4", 4, 1, 0, 1, 4, 19,"V"},</v>
      </c>
      <c r="BK11" s="80" t="str">
        <f t="shared" si="2"/>
        <v>{Scr3Col2Row4, "Scr3 Col2 Row 4", 4, 28, 0, 0, 4, 46,"A"},</v>
      </c>
      <c r="BL11" s="80" t="str">
        <f t="shared" si="3"/>
        <v>{Scr3Col3Row4, "Scr3 Col3 Row 4", 4, 55, 0, 0, 4, 73,"V"},</v>
      </c>
      <c r="BM11" s="103"/>
    </row>
    <row r="12" spans="1:65" x14ac:dyDescent="0.25">
      <c r="A12" s="84">
        <v>5</v>
      </c>
      <c r="B12" s="96" t="str">
        <f t="shared" si="4"/>
        <v>Scr3Col1Row5</v>
      </c>
      <c r="C12" s="165" t="s">
        <v>433</v>
      </c>
      <c r="D12" s="165"/>
      <c r="E12" s="165"/>
      <c r="F12" s="165"/>
      <c r="G12" s="165"/>
      <c r="H12" s="165"/>
      <c r="I12" s="79"/>
      <c r="J12" s="191">
        <v>0</v>
      </c>
      <c r="K12" s="192"/>
      <c r="L12" s="192"/>
      <c r="M12" s="193"/>
      <c r="N12" s="79"/>
      <c r="O12" s="97">
        <v>1</v>
      </c>
      <c r="P12" s="151"/>
      <c r="Q12" s="79"/>
      <c r="R12" s="99" t="s">
        <v>14</v>
      </c>
      <c r="S12" s="155"/>
      <c r="T12" s="100" t="str">
        <f t="shared" si="0"/>
        <v>Scr3Col2Row5</v>
      </c>
      <c r="U12" s="194" t="s">
        <v>481</v>
      </c>
      <c r="V12" s="194"/>
      <c r="W12" s="194"/>
      <c r="X12" s="194"/>
      <c r="Y12" s="194"/>
      <c r="Z12" s="194"/>
      <c r="AA12" s="79"/>
      <c r="AB12" s="191">
        <v>0</v>
      </c>
      <c r="AC12" s="192"/>
      <c r="AD12" s="192"/>
      <c r="AE12" s="193"/>
      <c r="AF12" s="79"/>
      <c r="AG12" s="97">
        <v>0</v>
      </c>
      <c r="AH12" s="151"/>
      <c r="AI12" s="79"/>
      <c r="AJ12" s="100" t="s">
        <v>14</v>
      </c>
      <c r="AK12" s="79"/>
      <c r="AL12" s="100" t="str">
        <f t="shared" si="5"/>
        <v>Scr3Col3Row5</v>
      </c>
      <c r="AM12" s="195" t="s">
        <v>529</v>
      </c>
      <c r="AN12" s="195"/>
      <c r="AO12" s="195"/>
      <c r="AP12" s="195"/>
      <c r="AQ12" s="195"/>
      <c r="AR12" s="195"/>
      <c r="AS12" s="79"/>
      <c r="AT12" s="191">
        <v>0</v>
      </c>
      <c r="AU12" s="192"/>
      <c r="AV12" s="192"/>
      <c r="AW12" s="193"/>
      <c r="AX12" s="79"/>
      <c r="AY12" s="97">
        <v>0</v>
      </c>
      <c r="AZ12" s="151"/>
      <c r="BA12" s="79"/>
      <c r="BB12" s="100" t="s">
        <v>0</v>
      </c>
      <c r="BC12" s="80"/>
      <c r="BD12" s="80">
        <f t="shared" si="8"/>
        <v>15</v>
      </c>
      <c r="BE12" s="80">
        <f t="shared" si="1"/>
        <v>15</v>
      </c>
      <c r="BF12" s="101">
        <f t="shared" si="6"/>
        <v>15</v>
      </c>
      <c r="BJ12" s="102" t="str">
        <f t="shared" si="7"/>
        <v>{Scr3Col1Row5, "Scr3 Col1 Row 5", 5, 1, 0, 1, 5, 19,"V"},</v>
      </c>
      <c r="BK12" s="80" t="str">
        <f t="shared" si="2"/>
        <v>{Scr3Col2Row5, "Scr3 Col2 Row 5", 5, 28, 0, 0, 5, 46,"V"},</v>
      </c>
      <c r="BL12" s="80" t="str">
        <f t="shared" si="3"/>
        <v>{Scr3Col3Row5, "Scr3 Col3 Row 5", 5, 55, 0, 0, 5, 73,"A"},</v>
      </c>
      <c r="BM12" s="103"/>
    </row>
    <row r="13" spans="1:65" x14ac:dyDescent="0.25">
      <c r="A13" s="84">
        <v>6</v>
      </c>
      <c r="B13" s="96" t="str">
        <f t="shared" si="4"/>
        <v>Scr3Col1Row6</v>
      </c>
      <c r="C13" s="165" t="s">
        <v>434</v>
      </c>
      <c r="D13" s="165"/>
      <c r="E13" s="165"/>
      <c r="F13" s="165"/>
      <c r="G13" s="165"/>
      <c r="H13" s="165"/>
      <c r="I13" s="79"/>
      <c r="J13" s="191">
        <v>0</v>
      </c>
      <c r="K13" s="192"/>
      <c r="L13" s="192"/>
      <c r="M13" s="193"/>
      <c r="N13" s="79"/>
      <c r="O13" s="97">
        <v>1</v>
      </c>
      <c r="P13" s="151"/>
      <c r="Q13" s="79"/>
      <c r="R13" s="99" t="s">
        <v>14</v>
      </c>
      <c r="S13" s="155"/>
      <c r="T13" s="100" t="str">
        <f t="shared" si="0"/>
        <v>Scr3Col2Row6</v>
      </c>
      <c r="U13" s="194" t="s">
        <v>482</v>
      </c>
      <c r="V13" s="194"/>
      <c r="W13" s="194"/>
      <c r="X13" s="194"/>
      <c r="Y13" s="194"/>
      <c r="Z13" s="194"/>
      <c r="AA13" s="79"/>
      <c r="AB13" s="191">
        <v>0</v>
      </c>
      <c r="AC13" s="192"/>
      <c r="AD13" s="192"/>
      <c r="AE13" s="193"/>
      <c r="AF13" s="79"/>
      <c r="AG13" s="97">
        <v>0</v>
      </c>
      <c r="AH13" s="151"/>
      <c r="AI13" s="79"/>
      <c r="AJ13" s="100" t="s">
        <v>14</v>
      </c>
      <c r="AK13" s="79"/>
      <c r="AL13" s="100" t="str">
        <f t="shared" si="5"/>
        <v>Scr3Col3Row6</v>
      </c>
      <c r="AM13" s="195" t="s">
        <v>530</v>
      </c>
      <c r="AN13" s="195"/>
      <c r="AO13" s="195"/>
      <c r="AP13" s="195"/>
      <c r="AQ13" s="195"/>
      <c r="AR13" s="195"/>
      <c r="AS13" s="79"/>
      <c r="AT13" s="191">
        <v>0</v>
      </c>
      <c r="AU13" s="192"/>
      <c r="AV13" s="192"/>
      <c r="AW13" s="193"/>
      <c r="AX13" s="79"/>
      <c r="AY13" s="97">
        <v>0</v>
      </c>
      <c r="AZ13" s="151"/>
      <c r="BA13" s="79"/>
      <c r="BB13" s="100" t="s">
        <v>14</v>
      </c>
      <c r="BC13" s="80"/>
      <c r="BD13" s="80">
        <f t="shared" si="8"/>
        <v>15</v>
      </c>
      <c r="BE13" s="80">
        <f t="shared" si="1"/>
        <v>15</v>
      </c>
      <c r="BF13" s="101">
        <f t="shared" si="6"/>
        <v>15</v>
      </c>
      <c r="BJ13" s="102" t="str">
        <f t="shared" si="7"/>
        <v>{Scr3Col1Row6, "Scr3 Col1 Row 6", 6, 1, 0, 1, 6, 19,"V"},</v>
      </c>
      <c r="BK13" s="80" t="str">
        <f t="shared" si="2"/>
        <v>{Scr3Col2Row6, "Scr3 Col2 Row 6", 6, 28, 0, 0, 6, 46,"V"},</v>
      </c>
      <c r="BL13" s="80" t="str">
        <f t="shared" si="3"/>
        <v>{Scr3Col3Row6, "Scr3 Col3 Row 6", 6, 55, 0, 0, 6, 73,"V"},</v>
      </c>
      <c r="BM13" s="103"/>
    </row>
    <row r="14" spans="1:65" x14ac:dyDescent="0.25">
      <c r="A14" s="84">
        <v>7</v>
      </c>
      <c r="B14" s="96" t="str">
        <f t="shared" si="4"/>
        <v>Scr3Col1Row7</v>
      </c>
      <c r="C14" s="165" t="s">
        <v>435</v>
      </c>
      <c r="D14" s="165"/>
      <c r="E14" s="165"/>
      <c r="F14" s="165"/>
      <c r="G14" s="165"/>
      <c r="H14" s="165"/>
      <c r="I14" s="79"/>
      <c r="J14" s="191">
        <v>0</v>
      </c>
      <c r="K14" s="192"/>
      <c r="L14" s="192"/>
      <c r="M14" s="193"/>
      <c r="N14" s="79"/>
      <c r="O14" s="97">
        <v>1</v>
      </c>
      <c r="P14" s="151"/>
      <c r="Q14" s="79"/>
      <c r="R14" s="99" t="s">
        <v>14</v>
      </c>
      <c r="S14" s="155"/>
      <c r="T14" s="100" t="str">
        <f t="shared" si="0"/>
        <v>Scr3Col2Row7</v>
      </c>
      <c r="U14" s="194" t="s">
        <v>483</v>
      </c>
      <c r="V14" s="194"/>
      <c r="W14" s="194"/>
      <c r="X14" s="194"/>
      <c r="Y14" s="194"/>
      <c r="Z14" s="194"/>
      <c r="AA14" s="79"/>
      <c r="AB14" s="191">
        <v>0</v>
      </c>
      <c r="AC14" s="192"/>
      <c r="AD14" s="192"/>
      <c r="AE14" s="193"/>
      <c r="AF14" s="79"/>
      <c r="AG14" s="97">
        <v>0</v>
      </c>
      <c r="AH14" s="151"/>
      <c r="AI14" s="79"/>
      <c r="AJ14" s="100" t="s">
        <v>14</v>
      </c>
      <c r="AK14" s="79"/>
      <c r="AL14" s="100" t="str">
        <f t="shared" si="5"/>
        <v>Scr3Col3Row7</v>
      </c>
      <c r="AM14" s="195" t="s">
        <v>531</v>
      </c>
      <c r="AN14" s="195"/>
      <c r="AO14" s="195"/>
      <c r="AP14" s="195"/>
      <c r="AQ14" s="195"/>
      <c r="AR14" s="195"/>
      <c r="AS14" s="79"/>
      <c r="AT14" s="191">
        <v>0</v>
      </c>
      <c r="AU14" s="192"/>
      <c r="AV14" s="192"/>
      <c r="AW14" s="193"/>
      <c r="AX14" s="79"/>
      <c r="AY14" s="97">
        <v>4</v>
      </c>
      <c r="AZ14" s="151"/>
      <c r="BA14" s="79"/>
      <c r="BB14" s="100" t="s">
        <v>184</v>
      </c>
      <c r="BC14" s="80"/>
      <c r="BD14" s="80">
        <f t="shared" si="8"/>
        <v>15</v>
      </c>
      <c r="BE14" s="80">
        <f t="shared" si="1"/>
        <v>15</v>
      </c>
      <c r="BF14" s="101">
        <f t="shared" si="6"/>
        <v>15</v>
      </c>
      <c r="BJ14" s="102" t="str">
        <f t="shared" si="7"/>
        <v>{Scr3Col1Row7, "Scr3 Col1 Row 7", 7, 1, 0, 1, 7, 19,"V"},</v>
      </c>
      <c r="BK14" s="80" t="str">
        <f t="shared" si="2"/>
        <v>{Scr3Col2Row7, "Scr3 Col2 Row 7", 7, 28, 0, 0, 7, 46,"V"},</v>
      </c>
      <c r="BL14" s="80" t="str">
        <f t="shared" si="3"/>
        <v>{Scr3Col3Row7, "Scr3 Col3 Row 7", 7, 55, 0, 4, 7, 73,"X"},</v>
      </c>
      <c r="BM14" s="103"/>
    </row>
    <row r="15" spans="1:65" ht="15.75" thickBot="1" x14ac:dyDescent="0.3">
      <c r="A15" s="84">
        <v>8</v>
      </c>
      <c r="B15" s="104" t="str">
        <f t="shared" si="4"/>
        <v>Scr3Col1Row8</v>
      </c>
      <c r="C15" s="169" t="s">
        <v>436</v>
      </c>
      <c r="D15" s="169"/>
      <c r="E15" s="169"/>
      <c r="F15" s="169"/>
      <c r="G15" s="169"/>
      <c r="H15" s="169"/>
      <c r="I15" s="105"/>
      <c r="J15" s="196">
        <v>0</v>
      </c>
      <c r="K15" s="197"/>
      <c r="L15" s="197"/>
      <c r="M15" s="198"/>
      <c r="N15" s="105"/>
      <c r="O15" s="106">
        <v>1</v>
      </c>
      <c r="P15" s="107"/>
      <c r="Q15" s="105"/>
      <c r="R15" s="108" t="s">
        <v>14</v>
      </c>
      <c r="S15" s="156"/>
      <c r="T15" s="157" t="str">
        <f t="shared" si="0"/>
        <v>Scr3Col2Row8</v>
      </c>
      <c r="U15" s="199" t="s">
        <v>484</v>
      </c>
      <c r="V15" s="199"/>
      <c r="W15" s="199"/>
      <c r="X15" s="199"/>
      <c r="Y15" s="199"/>
      <c r="Z15" s="199"/>
      <c r="AA15" s="105"/>
      <c r="AB15" s="196">
        <v>0</v>
      </c>
      <c r="AC15" s="197"/>
      <c r="AD15" s="197"/>
      <c r="AE15" s="198"/>
      <c r="AF15" s="105"/>
      <c r="AG15" s="106">
        <v>0</v>
      </c>
      <c r="AH15" s="107"/>
      <c r="AI15" s="105"/>
      <c r="AJ15" s="109" t="s">
        <v>14</v>
      </c>
      <c r="AK15" s="105"/>
      <c r="AL15" s="109" t="str">
        <f t="shared" si="5"/>
        <v>Scr3Col3Row8</v>
      </c>
      <c r="AM15" s="200" t="s">
        <v>532</v>
      </c>
      <c r="AN15" s="200"/>
      <c r="AO15" s="200"/>
      <c r="AP15" s="200"/>
      <c r="AQ15" s="200"/>
      <c r="AR15" s="200"/>
      <c r="AS15" s="105"/>
      <c r="AT15" s="196">
        <v>0</v>
      </c>
      <c r="AU15" s="197"/>
      <c r="AV15" s="197"/>
      <c r="AW15" s="198"/>
      <c r="AX15" s="105"/>
      <c r="AY15" s="106">
        <v>4</v>
      </c>
      <c r="AZ15" s="107"/>
      <c r="BA15" s="105"/>
      <c r="BB15" s="109" t="s">
        <v>184</v>
      </c>
      <c r="BC15" s="110"/>
      <c r="BD15" s="110">
        <f t="shared" si="8"/>
        <v>15</v>
      </c>
      <c r="BE15" s="110">
        <f t="shared" si="1"/>
        <v>15</v>
      </c>
      <c r="BF15" s="111">
        <f t="shared" si="6"/>
        <v>15</v>
      </c>
      <c r="BJ15" s="102" t="str">
        <f t="shared" si="7"/>
        <v>{Scr3Col1Row8, "Scr3 Col1 Row 8", 8, 1, 0, 1, 8, 19,"V"},</v>
      </c>
      <c r="BK15" s="80" t="str">
        <f t="shared" si="2"/>
        <v>{Scr3Col2Row8, "Scr3 Col2 Row 8", 8, 28, 0, 0, 8, 46,"V"},</v>
      </c>
      <c r="BL15" s="80" t="str">
        <f t="shared" si="3"/>
        <v>{Scr3Col3Row8, "Scr3 Col3 Row 8", 8, 55, 0, 4, 8, 73,"X"},</v>
      </c>
      <c r="BM15" s="103"/>
    </row>
    <row r="16" spans="1:65" x14ac:dyDescent="0.25">
      <c r="A16" s="84">
        <v>9</v>
      </c>
      <c r="B16" s="86" t="str">
        <f t="shared" si="4"/>
        <v>Scr3Col1Row9</v>
      </c>
      <c r="C16" s="161" t="s">
        <v>437</v>
      </c>
      <c r="D16" s="161"/>
      <c r="E16" s="161"/>
      <c r="F16" s="161"/>
      <c r="G16" s="161"/>
      <c r="H16" s="161"/>
      <c r="I16" s="87"/>
      <c r="J16" s="186">
        <v>0</v>
      </c>
      <c r="K16" s="187"/>
      <c r="L16" s="187"/>
      <c r="M16" s="188"/>
      <c r="N16" s="87"/>
      <c r="O16" s="88">
        <v>1</v>
      </c>
      <c r="P16" s="89"/>
      <c r="Q16" s="87"/>
      <c r="R16" s="90" t="s">
        <v>14</v>
      </c>
      <c r="S16" s="154"/>
      <c r="T16" s="91" t="str">
        <f t="shared" si="0"/>
        <v>Scr3Col2Row9</v>
      </c>
      <c r="U16" s="189" t="s">
        <v>485</v>
      </c>
      <c r="V16" s="189"/>
      <c r="W16" s="189"/>
      <c r="X16" s="189"/>
      <c r="Y16" s="189"/>
      <c r="Z16" s="189"/>
      <c r="AA16" s="87"/>
      <c r="AB16" s="186">
        <v>0</v>
      </c>
      <c r="AC16" s="187"/>
      <c r="AD16" s="187"/>
      <c r="AE16" s="188"/>
      <c r="AF16" s="87"/>
      <c r="AG16" s="88">
        <v>0</v>
      </c>
      <c r="AH16" s="89"/>
      <c r="AI16" s="87"/>
      <c r="AJ16" s="91" t="s">
        <v>14</v>
      </c>
      <c r="AK16" s="87"/>
      <c r="AL16" s="91" t="str">
        <f t="shared" si="5"/>
        <v>Scr3Col3Row9</v>
      </c>
      <c r="AM16" s="190" t="s">
        <v>533</v>
      </c>
      <c r="AN16" s="190"/>
      <c r="AO16" s="190"/>
      <c r="AP16" s="190"/>
      <c r="AQ16" s="190"/>
      <c r="AR16" s="190"/>
      <c r="AS16" s="87"/>
      <c r="AT16" s="186">
        <v>0</v>
      </c>
      <c r="AU16" s="187"/>
      <c r="AV16" s="187"/>
      <c r="AW16" s="188"/>
      <c r="AX16" s="87"/>
      <c r="AY16" s="88">
        <v>4</v>
      </c>
      <c r="AZ16" s="89"/>
      <c r="BA16" s="87"/>
      <c r="BB16" s="91" t="s">
        <v>184</v>
      </c>
      <c r="BC16" s="92"/>
      <c r="BD16" s="92">
        <f t="shared" si="8"/>
        <v>15</v>
      </c>
      <c r="BE16" s="92">
        <f t="shared" si="1"/>
        <v>16</v>
      </c>
      <c r="BF16" s="93">
        <f t="shared" si="6"/>
        <v>15</v>
      </c>
      <c r="BJ16" s="102" t="str">
        <f t="shared" si="7"/>
        <v>{Scr3Col1Row9, "Scr3 Col1 Row 9", 9, 1, 0, 1, 9, 19,"V"},</v>
      </c>
      <c r="BK16" s="80" t="str">
        <f t="shared" si="2"/>
        <v>{Scr3Col2Row9, "Scr3 Col2 Row 9", 9, 28, 0, 0, 9, 46,"V"},</v>
      </c>
      <c r="BL16" s="80" t="str">
        <f t="shared" si="3"/>
        <v>{Scr3Col3Row9, "Scr3 Col3 Row 9", 9, 55, 0, 4, 9, 73,"X"},</v>
      </c>
      <c r="BM16" s="103"/>
    </row>
    <row r="17" spans="1:65" x14ac:dyDescent="0.25">
      <c r="A17" s="84">
        <v>10</v>
      </c>
      <c r="B17" s="96" t="str">
        <f t="shared" si="4"/>
        <v>Scr3Col1Row10</v>
      </c>
      <c r="C17" s="165" t="s">
        <v>438</v>
      </c>
      <c r="D17" s="165"/>
      <c r="E17" s="165"/>
      <c r="F17" s="165"/>
      <c r="G17" s="165"/>
      <c r="H17" s="165"/>
      <c r="I17" s="79"/>
      <c r="J17" s="191">
        <v>0</v>
      </c>
      <c r="K17" s="192"/>
      <c r="L17" s="192"/>
      <c r="M17" s="193"/>
      <c r="N17" s="79"/>
      <c r="O17" s="97">
        <v>1</v>
      </c>
      <c r="P17" s="151"/>
      <c r="Q17" s="79"/>
      <c r="R17" s="99" t="s">
        <v>14</v>
      </c>
      <c r="S17" s="155"/>
      <c r="T17" s="100" t="str">
        <f t="shared" si="0"/>
        <v>Scr3Col2Row10</v>
      </c>
      <c r="U17" s="194" t="s">
        <v>486</v>
      </c>
      <c r="V17" s="194"/>
      <c r="W17" s="194"/>
      <c r="X17" s="194"/>
      <c r="Y17" s="194"/>
      <c r="Z17" s="194"/>
      <c r="AA17" s="79"/>
      <c r="AB17" s="191">
        <v>0</v>
      </c>
      <c r="AC17" s="192"/>
      <c r="AD17" s="192"/>
      <c r="AE17" s="193"/>
      <c r="AF17" s="79"/>
      <c r="AG17" s="97">
        <v>0</v>
      </c>
      <c r="AH17" s="151"/>
      <c r="AI17" s="79"/>
      <c r="AJ17" s="100" t="s">
        <v>14</v>
      </c>
      <c r="AK17" s="79"/>
      <c r="AL17" s="100" t="str">
        <f t="shared" si="5"/>
        <v>Scr3Col3Row10</v>
      </c>
      <c r="AM17" s="195" t="s">
        <v>534</v>
      </c>
      <c r="AN17" s="195"/>
      <c r="AO17" s="195"/>
      <c r="AP17" s="195"/>
      <c r="AQ17" s="195"/>
      <c r="AR17" s="195"/>
      <c r="AS17" s="79"/>
      <c r="AT17" s="182">
        <v>0</v>
      </c>
      <c r="AU17" s="183"/>
      <c r="AV17" s="183"/>
      <c r="AW17" s="184"/>
      <c r="AX17" s="79"/>
      <c r="AY17" s="97">
        <v>0</v>
      </c>
      <c r="AZ17" s="151"/>
      <c r="BA17" s="79"/>
      <c r="BB17" s="100" t="s">
        <v>14</v>
      </c>
      <c r="BC17" s="80"/>
      <c r="BD17" s="80">
        <f t="shared" ref="BD17:BD29" si="9">LEN(C17)</f>
        <v>16</v>
      </c>
      <c r="BE17" s="80">
        <f t="shared" si="1"/>
        <v>16</v>
      </c>
      <c r="BF17" s="101">
        <f t="shared" si="6"/>
        <v>16</v>
      </c>
      <c r="BJ17" s="102" t="str">
        <f t="shared" si="7"/>
        <v>{Scr3Col1Row10, "Scr3 Col1 Row 10", 10, 1, 0, 1, 10, 19,"V"},</v>
      </c>
      <c r="BK17" s="80" t="str">
        <f t="shared" si="2"/>
        <v>{Scr3Col2Row10, "Scr3 Col2 Row 10", 10, 28, 0, 0, 10, 46,"V"},</v>
      </c>
      <c r="BL17" s="80" t="str">
        <f t="shared" si="3"/>
        <v>{Scr3Col3Row10, "Scr3 Col3 Row 10", 10, 55, 0, 0, 10, 73,"V"},</v>
      </c>
      <c r="BM17" s="103"/>
    </row>
    <row r="18" spans="1:65" x14ac:dyDescent="0.25">
      <c r="A18" s="84">
        <v>11</v>
      </c>
      <c r="B18" s="96" t="str">
        <f t="shared" si="4"/>
        <v>Scr3Col1Row11</v>
      </c>
      <c r="C18" s="165" t="s">
        <v>439</v>
      </c>
      <c r="D18" s="165"/>
      <c r="E18" s="165"/>
      <c r="F18" s="165"/>
      <c r="G18" s="165"/>
      <c r="H18" s="165"/>
      <c r="I18" s="79"/>
      <c r="J18" s="191">
        <v>0</v>
      </c>
      <c r="K18" s="192"/>
      <c r="L18" s="192"/>
      <c r="M18" s="193"/>
      <c r="N18" s="79"/>
      <c r="O18" s="97">
        <v>1</v>
      </c>
      <c r="P18" s="151"/>
      <c r="Q18" s="79"/>
      <c r="R18" s="99" t="s">
        <v>14</v>
      </c>
      <c r="S18" s="155"/>
      <c r="T18" s="100" t="str">
        <f t="shared" si="0"/>
        <v>Scr3Col2Row11</v>
      </c>
      <c r="U18" s="194" t="s">
        <v>487</v>
      </c>
      <c r="V18" s="194"/>
      <c r="W18" s="194"/>
      <c r="X18" s="194"/>
      <c r="Y18" s="194"/>
      <c r="Z18" s="194"/>
      <c r="AA18" s="79"/>
      <c r="AB18" s="191">
        <v>0</v>
      </c>
      <c r="AC18" s="192"/>
      <c r="AD18" s="192"/>
      <c r="AE18" s="193"/>
      <c r="AF18" s="79"/>
      <c r="AG18" s="97">
        <v>1</v>
      </c>
      <c r="AH18" s="151"/>
      <c r="AI18" s="79"/>
      <c r="AJ18" s="100" t="s">
        <v>14</v>
      </c>
      <c r="AK18" s="79"/>
      <c r="AL18" s="100" t="str">
        <f t="shared" si="5"/>
        <v>Scr3Col3Row11</v>
      </c>
      <c r="AM18" s="195" t="s">
        <v>535</v>
      </c>
      <c r="AN18" s="195"/>
      <c r="AO18" s="195"/>
      <c r="AP18" s="195"/>
      <c r="AQ18" s="195"/>
      <c r="AR18" s="195"/>
      <c r="AS18" s="79"/>
      <c r="AT18" s="182">
        <v>0</v>
      </c>
      <c r="AU18" s="183"/>
      <c r="AV18" s="183"/>
      <c r="AW18" s="184"/>
      <c r="AX18" s="79"/>
      <c r="AY18" s="97">
        <v>0</v>
      </c>
      <c r="AZ18" s="151"/>
      <c r="BA18" s="79"/>
      <c r="BB18" s="100" t="s">
        <v>14</v>
      </c>
      <c r="BC18" s="80"/>
      <c r="BD18" s="80">
        <f t="shared" si="9"/>
        <v>16</v>
      </c>
      <c r="BE18" s="80">
        <f t="shared" si="1"/>
        <v>16</v>
      </c>
      <c r="BF18" s="101">
        <f>LEN(AM17)</f>
        <v>16</v>
      </c>
      <c r="BJ18" s="102" t="str">
        <f t="shared" si="7"/>
        <v>{Scr3Col1Row11, "Scr3 Col1 Row 11", 11, 1, 0, 1, 11, 19,"V"},</v>
      </c>
      <c r="BK18" s="80" t="str">
        <f t="shared" si="2"/>
        <v>{Scr3Col2Row11, "Scr3 Col2 Row 11", 11, 28, 0, 1, 11, 46,"V"},</v>
      </c>
      <c r="BL18" s="80" t="str">
        <f t="shared" si="3"/>
        <v>{Scr3Col3Row11, "Scr3 Col3 Row 11", 11, 55, 0, 0, 11, 73,"V"},</v>
      </c>
      <c r="BM18" s="103"/>
    </row>
    <row r="19" spans="1:65" x14ac:dyDescent="0.25">
      <c r="A19" s="84">
        <v>12</v>
      </c>
      <c r="B19" s="96" t="str">
        <f t="shared" si="4"/>
        <v>Scr3Col1Row12</v>
      </c>
      <c r="C19" s="165" t="s">
        <v>440</v>
      </c>
      <c r="D19" s="165"/>
      <c r="E19" s="165"/>
      <c r="F19" s="165"/>
      <c r="G19" s="165"/>
      <c r="H19" s="165"/>
      <c r="I19" s="79"/>
      <c r="J19" s="191">
        <v>0</v>
      </c>
      <c r="K19" s="192"/>
      <c r="L19" s="192"/>
      <c r="M19" s="193"/>
      <c r="N19" s="79"/>
      <c r="O19" s="97">
        <v>1</v>
      </c>
      <c r="P19" s="151"/>
      <c r="Q19" s="79"/>
      <c r="R19" s="99" t="s">
        <v>14</v>
      </c>
      <c r="S19" s="155"/>
      <c r="T19" s="100" t="str">
        <f t="shared" si="0"/>
        <v>Scr3Col2Row12</v>
      </c>
      <c r="U19" s="194" t="s">
        <v>488</v>
      </c>
      <c r="V19" s="194"/>
      <c r="W19" s="194"/>
      <c r="X19" s="194"/>
      <c r="Y19" s="194"/>
      <c r="Z19" s="194"/>
      <c r="AA19" s="79"/>
      <c r="AB19" s="191">
        <v>0</v>
      </c>
      <c r="AC19" s="192"/>
      <c r="AD19" s="192"/>
      <c r="AE19" s="193"/>
      <c r="AF19" s="79"/>
      <c r="AG19" s="97">
        <v>1</v>
      </c>
      <c r="AH19" s="151"/>
      <c r="AI19" s="79"/>
      <c r="AJ19" s="100" t="s">
        <v>14</v>
      </c>
      <c r="AK19" s="79"/>
      <c r="AL19" s="100" t="str">
        <f t="shared" si="5"/>
        <v>Scr3Col3Row12</v>
      </c>
      <c r="AM19" s="195" t="s">
        <v>536</v>
      </c>
      <c r="AN19" s="195"/>
      <c r="AO19" s="195"/>
      <c r="AP19" s="195"/>
      <c r="AQ19" s="195"/>
      <c r="AR19" s="195"/>
      <c r="AS19" s="79"/>
      <c r="AT19" s="182">
        <v>0</v>
      </c>
      <c r="AU19" s="183"/>
      <c r="AV19" s="183"/>
      <c r="AW19" s="184"/>
      <c r="AX19" s="79"/>
      <c r="AY19" s="97">
        <v>1</v>
      </c>
      <c r="AZ19" s="151"/>
      <c r="BA19" s="79"/>
      <c r="BB19" s="100" t="s">
        <v>14</v>
      </c>
      <c r="BC19" s="80"/>
      <c r="BD19" s="80">
        <f t="shared" si="9"/>
        <v>16</v>
      </c>
      <c r="BE19" s="80">
        <f t="shared" si="1"/>
        <v>16</v>
      </c>
      <c r="BF19" s="101">
        <f>LEN(AM18)</f>
        <v>16</v>
      </c>
      <c r="BJ19" s="102" t="str">
        <f t="shared" si="7"/>
        <v>{Scr3Col1Row12, "Scr3 Col1 Row 12", 12, 1, 0, 1, 12, 19,"V"},</v>
      </c>
      <c r="BK19" s="80" t="str">
        <f t="shared" si="2"/>
        <v>{Scr3Col2Row12, "Scr3 Col2 Row 12", 12, 28, 0, 1, 12, 46,"V"},</v>
      </c>
      <c r="BL19" s="80" t="str">
        <f t="shared" si="3"/>
        <v>{Scr3Col3Row12, "Scr3 Col3 Row 12", 12, 55, 0, 1, 12, 73,"V"},</v>
      </c>
      <c r="BM19" s="103"/>
    </row>
    <row r="20" spans="1:65" x14ac:dyDescent="0.25">
      <c r="A20" s="84">
        <v>13</v>
      </c>
      <c r="B20" s="96" t="str">
        <f t="shared" si="4"/>
        <v>Scr3Col1Row13</v>
      </c>
      <c r="C20" s="165" t="s">
        <v>441</v>
      </c>
      <c r="D20" s="165"/>
      <c r="E20" s="165"/>
      <c r="F20" s="165"/>
      <c r="G20" s="165"/>
      <c r="H20" s="165"/>
      <c r="I20" s="79"/>
      <c r="J20" s="191">
        <v>0</v>
      </c>
      <c r="K20" s="192"/>
      <c r="L20" s="192"/>
      <c r="M20" s="193"/>
      <c r="N20" s="79"/>
      <c r="O20" s="112">
        <v>0</v>
      </c>
      <c r="P20" s="151"/>
      <c r="Q20" s="79"/>
      <c r="R20" s="99" t="s">
        <v>14</v>
      </c>
      <c r="S20" s="155"/>
      <c r="T20" s="100" t="str">
        <f t="shared" si="0"/>
        <v>Scr3Col2Row13</v>
      </c>
      <c r="U20" s="194" t="s">
        <v>489</v>
      </c>
      <c r="V20" s="194"/>
      <c r="W20" s="194"/>
      <c r="X20" s="194"/>
      <c r="Y20" s="194"/>
      <c r="Z20" s="194"/>
      <c r="AA20" s="79"/>
      <c r="AB20" s="191">
        <v>0</v>
      </c>
      <c r="AC20" s="192"/>
      <c r="AD20" s="192"/>
      <c r="AE20" s="193"/>
      <c r="AF20" s="79"/>
      <c r="AG20" s="97">
        <v>1</v>
      </c>
      <c r="AH20" s="151"/>
      <c r="AI20" s="79"/>
      <c r="AJ20" s="100" t="s">
        <v>14</v>
      </c>
      <c r="AK20" s="79"/>
      <c r="AL20" s="100" t="str">
        <f t="shared" si="5"/>
        <v>Scr3Col3Row13</v>
      </c>
      <c r="AM20" s="195" t="s">
        <v>537</v>
      </c>
      <c r="AN20" s="195"/>
      <c r="AO20" s="195"/>
      <c r="AP20" s="195"/>
      <c r="AQ20" s="195"/>
      <c r="AR20" s="195"/>
      <c r="AS20" s="79"/>
      <c r="AT20" s="182">
        <v>0</v>
      </c>
      <c r="AU20" s="183"/>
      <c r="AV20" s="183"/>
      <c r="AW20" s="184"/>
      <c r="AX20" s="79"/>
      <c r="AY20" s="97">
        <v>1</v>
      </c>
      <c r="AZ20" s="151"/>
      <c r="BA20" s="79"/>
      <c r="BB20" s="100" t="s">
        <v>14</v>
      </c>
      <c r="BC20" s="80"/>
      <c r="BD20" s="80">
        <f t="shared" si="9"/>
        <v>16</v>
      </c>
      <c r="BE20" s="80">
        <f t="shared" si="1"/>
        <v>16</v>
      </c>
      <c r="BF20" s="101">
        <f>LEN(AM19)</f>
        <v>16</v>
      </c>
      <c r="BJ20" s="102" t="str">
        <f t="shared" si="7"/>
        <v>{Scr3Col1Row13, "Scr3 Col1 Row 13", 13, 1, 0, 0, 13, 19,"V"},</v>
      </c>
      <c r="BK20" s="80" t="str">
        <f t="shared" si="2"/>
        <v>{Scr3Col2Row13, "Scr3 Col2 Row 13", 13, 28, 0, 1, 13, 46,"V"},</v>
      </c>
      <c r="BL20" s="80" t="str">
        <f t="shared" si="3"/>
        <v>{Scr3Col3Row13, "Scr3 Col3 Row 13", 13, 55, 0, 1, 13, 73,"V"},</v>
      </c>
      <c r="BM20" s="103"/>
    </row>
    <row r="21" spans="1:65" x14ac:dyDescent="0.25">
      <c r="A21" s="84">
        <v>14</v>
      </c>
      <c r="B21" s="96" t="str">
        <f t="shared" si="4"/>
        <v>Scr3Col1Row14</v>
      </c>
      <c r="C21" s="165" t="s">
        <v>442</v>
      </c>
      <c r="D21" s="165"/>
      <c r="E21" s="165"/>
      <c r="F21" s="165"/>
      <c r="G21" s="165"/>
      <c r="H21" s="165"/>
      <c r="I21" s="79"/>
      <c r="J21" s="191">
        <v>0</v>
      </c>
      <c r="K21" s="192"/>
      <c r="L21" s="192"/>
      <c r="M21" s="193"/>
      <c r="N21" s="79"/>
      <c r="O21" s="97">
        <v>1</v>
      </c>
      <c r="P21" s="151"/>
      <c r="Q21" s="79"/>
      <c r="R21" s="99" t="s">
        <v>14</v>
      </c>
      <c r="S21" s="155"/>
      <c r="T21" s="100" t="str">
        <f t="shared" si="0"/>
        <v>Scr3Col2Row14</v>
      </c>
      <c r="U21" s="194" t="s">
        <v>490</v>
      </c>
      <c r="V21" s="194"/>
      <c r="W21" s="194"/>
      <c r="X21" s="194"/>
      <c r="Y21" s="194"/>
      <c r="Z21" s="194"/>
      <c r="AA21" s="79"/>
      <c r="AB21" s="191">
        <v>0</v>
      </c>
      <c r="AC21" s="192"/>
      <c r="AD21" s="192"/>
      <c r="AE21" s="193"/>
      <c r="AF21" s="79"/>
      <c r="AG21" s="97">
        <v>1</v>
      </c>
      <c r="AH21" s="151"/>
      <c r="AI21" s="79"/>
      <c r="AJ21" s="100" t="s">
        <v>14</v>
      </c>
      <c r="AK21" s="79"/>
      <c r="AL21" s="100" t="str">
        <f t="shared" si="5"/>
        <v>Scr3Col3Row14</v>
      </c>
      <c r="AM21" s="195" t="s">
        <v>538</v>
      </c>
      <c r="AN21" s="195"/>
      <c r="AO21" s="195"/>
      <c r="AP21" s="195"/>
      <c r="AQ21" s="195"/>
      <c r="AR21" s="195"/>
      <c r="AS21" s="79"/>
      <c r="AT21" s="191">
        <v>0</v>
      </c>
      <c r="AU21" s="192"/>
      <c r="AV21" s="192"/>
      <c r="AW21" s="193"/>
      <c r="AX21" s="79"/>
      <c r="AY21" s="97">
        <v>1</v>
      </c>
      <c r="AZ21" s="151"/>
      <c r="BA21" s="79"/>
      <c r="BB21" s="100" t="s">
        <v>14</v>
      </c>
      <c r="BC21" s="80"/>
      <c r="BD21" s="80">
        <f t="shared" si="9"/>
        <v>16</v>
      </c>
      <c r="BE21" s="80">
        <f t="shared" si="1"/>
        <v>16</v>
      </c>
      <c r="BF21" s="101">
        <f>LEN(AM20)</f>
        <v>16</v>
      </c>
      <c r="BJ21" s="102" t="str">
        <f t="shared" si="7"/>
        <v>{Scr3Col1Row14, "Scr3 Col1 Row 14", 14, 1, 0, 1, 14, 19,"V"},</v>
      </c>
      <c r="BK21" s="80" t="str">
        <f t="shared" si="2"/>
        <v>{Scr3Col2Row14, "Scr3 Col2 Row 14", 14, 28, 0, 1, 14, 46,"V"},</v>
      </c>
      <c r="BL21" s="80" t="str">
        <f t="shared" si="3"/>
        <v>{Scr3Col3Row14, "Scr3 Col3 Row 14", 14, 55, 0, 1, 14, 73,"V"},</v>
      </c>
      <c r="BM21" s="103"/>
    </row>
    <row r="22" spans="1:65" x14ac:dyDescent="0.25">
      <c r="A22" s="84">
        <v>15</v>
      </c>
      <c r="B22" s="96" t="str">
        <f t="shared" si="4"/>
        <v>Scr3Col1Row15</v>
      </c>
      <c r="C22" s="165" t="s">
        <v>443</v>
      </c>
      <c r="D22" s="165"/>
      <c r="E22" s="165"/>
      <c r="F22" s="165"/>
      <c r="G22" s="165"/>
      <c r="H22" s="165"/>
      <c r="I22" s="79"/>
      <c r="J22" s="191">
        <v>0</v>
      </c>
      <c r="K22" s="192"/>
      <c r="L22" s="192"/>
      <c r="M22" s="193"/>
      <c r="N22" s="79"/>
      <c r="O22" s="97">
        <v>1</v>
      </c>
      <c r="P22" s="151"/>
      <c r="Q22" s="79"/>
      <c r="R22" s="99" t="s">
        <v>14</v>
      </c>
      <c r="S22" s="155"/>
      <c r="T22" s="100" t="str">
        <f t="shared" si="0"/>
        <v>Scr3Col2Row15</v>
      </c>
      <c r="U22" s="194" t="s">
        <v>491</v>
      </c>
      <c r="V22" s="194"/>
      <c r="W22" s="194"/>
      <c r="X22" s="194"/>
      <c r="Y22" s="194"/>
      <c r="Z22" s="194"/>
      <c r="AA22" s="79"/>
      <c r="AB22" s="191">
        <v>0</v>
      </c>
      <c r="AC22" s="192"/>
      <c r="AD22" s="192"/>
      <c r="AE22" s="193"/>
      <c r="AF22" s="79"/>
      <c r="AG22" s="97">
        <v>0</v>
      </c>
      <c r="AH22" s="151"/>
      <c r="AI22" s="79"/>
      <c r="AJ22" s="100" t="s">
        <v>0</v>
      </c>
      <c r="AK22" s="79"/>
      <c r="AL22" s="100" t="str">
        <f t="shared" si="5"/>
        <v>Scr3Col3Row15</v>
      </c>
      <c r="AM22" s="195" t="s">
        <v>539</v>
      </c>
      <c r="AN22" s="195"/>
      <c r="AO22" s="195"/>
      <c r="AP22" s="195"/>
      <c r="AQ22" s="195"/>
      <c r="AR22" s="195"/>
      <c r="AS22" s="79"/>
      <c r="AT22" s="191">
        <v>0</v>
      </c>
      <c r="AU22" s="192"/>
      <c r="AV22" s="192"/>
      <c r="AW22" s="193"/>
      <c r="AX22" s="79"/>
      <c r="AY22" s="113">
        <v>0</v>
      </c>
      <c r="AZ22" s="79"/>
      <c r="BA22" s="79"/>
      <c r="BB22" s="114" t="s">
        <v>0</v>
      </c>
      <c r="BC22" s="80"/>
      <c r="BD22" s="80">
        <f t="shared" si="9"/>
        <v>16</v>
      </c>
      <c r="BE22" s="80">
        <f t="shared" si="1"/>
        <v>16</v>
      </c>
      <c r="BF22" s="101">
        <f>LEN(AM21)</f>
        <v>16</v>
      </c>
      <c r="BJ22" s="102" t="str">
        <f t="shared" si="7"/>
        <v>{Scr3Col1Row15, "Scr3 Col1 Row 15", 15, 1, 0, 1, 15, 19,"V"},</v>
      </c>
      <c r="BK22" s="80" t="str">
        <f t="shared" si="2"/>
        <v>{Scr3Col2Row15, "Scr3 Col2 Row 15", 15, 28, 0, 0, 15, 46,"A"},</v>
      </c>
      <c r="BL22" s="80" t="str">
        <f t="shared" si="3"/>
        <v>{Scr3Col3Row15, "Scr3 Col3 Row 15", 15, 55, 0, 0, 15, 73,"A"},</v>
      </c>
      <c r="BM22" s="103"/>
    </row>
    <row r="23" spans="1:65" ht="15.75" thickBot="1" x14ac:dyDescent="0.3">
      <c r="A23" s="84">
        <v>16</v>
      </c>
      <c r="B23" s="104" t="str">
        <f t="shared" si="4"/>
        <v>Scr3Col1Row16</v>
      </c>
      <c r="C23" s="169" t="s">
        <v>444</v>
      </c>
      <c r="D23" s="169"/>
      <c r="E23" s="169"/>
      <c r="F23" s="169"/>
      <c r="G23" s="169"/>
      <c r="H23" s="169"/>
      <c r="I23" s="105"/>
      <c r="J23" s="196">
        <v>0</v>
      </c>
      <c r="K23" s="197"/>
      <c r="L23" s="197"/>
      <c r="M23" s="198"/>
      <c r="N23" s="105"/>
      <c r="O23" s="106">
        <v>0</v>
      </c>
      <c r="P23" s="107"/>
      <c r="Q23" s="105"/>
      <c r="R23" s="108" t="s">
        <v>14</v>
      </c>
      <c r="S23" s="156"/>
      <c r="T23" s="157" t="str">
        <f t="shared" si="0"/>
        <v>Scr3Col2Row16</v>
      </c>
      <c r="U23" s="199" t="s">
        <v>492</v>
      </c>
      <c r="V23" s="199"/>
      <c r="W23" s="199"/>
      <c r="X23" s="199"/>
      <c r="Y23" s="199"/>
      <c r="Z23" s="199"/>
      <c r="AA23" s="105"/>
      <c r="AB23" s="196">
        <v>0</v>
      </c>
      <c r="AC23" s="197"/>
      <c r="AD23" s="197"/>
      <c r="AE23" s="198"/>
      <c r="AF23" s="105"/>
      <c r="AG23" s="106">
        <v>0</v>
      </c>
      <c r="AH23" s="107"/>
      <c r="AI23" s="105"/>
      <c r="AJ23" s="109" t="s">
        <v>0</v>
      </c>
      <c r="AK23" s="105"/>
      <c r="AL23" s="109" t="str">
        <f t="shared" si="5"/>
        <v>Scr3Col3Row16</v>
      </c>
      <c r="AM23" s="200" t="s">
        <v>540</v>
      </c>
      <c r="AN23" s="200"/>
      <c r="AO23" s="200"/>
      <c r="AP23" s="200"/>
      <c r="AQ23" s="200"/>
      <c r="AR23" s="200"/>
      <c r="AS23" s="105"/>
      <c r="AT23" s="196">
        <v>0</v>
      </c>
      <c r="AU23" s="197"/>
      <c r="AV23" s="197"/>
      <c r="AW23" s="198"/>
      <c r="AX23" s="105"/>
      <c r="AY23" s="106">
        <v>0</v>
      </c>
      <c r="AZ23" s="107"/>
      <c r="BA23" s="105"/>
      <c r="BB23" s="109" t="s">
        <v>0</v>
      </c>
      <c r="BC23" s="110"/>
      <c r="BD23" s="110">
        <f t="shared" si="9"/>
        <v>16</v>
      </c>
      <c r="BE23" s="110">
        <f t="shared" si="1"/>
        <v>16</v>
      </c>
      <c r="BF23" s="111">
        <f t="shared" si="6"/>
        <v>16</v>
      </c>
      <c r="BJ23" s="102" t="str">
        <f t="shared" si="7"/>
        <v>{Scr3Col1Row16, "Scr3 Col1 Row 16", 16, 1, 0, 0, 16, 19,"V"},</v>
      </c>
      <c r="BK23" s="80" t="str">
        <f t="shared" si="2"/>
        <v>{Scr3Col2Row16, "Scr3 Col2 Row 16", 16, 28, 0, 0, 16, 46,"A"},</v>
      </c>
      <c r="BL23" s="80" t="str">
        <f t="shared" si="3"/>
        <v>{Scr3Col3Row16, "Scr3 Col3 Row 16", 16, 55, 0, 0, 16, 73,"A"},</v>
      </c>
      <c r="BM23" s="103"/>
    </row>
    <row r="24" spans="1:65" x14ac:dyDescent="0.25">
      <c r="A24" s="84">
        <v>17</v>
      </c>
      <c r="B24" s="86" t="str">
        <f t="shared" si="4"/>
        <v>Scr3Col1Row17</v>
      </c>
      <c r="C24" s="161" t="s">
        <v>445</v>
      </c>
      <c r="D24" s="161"/>
      <c r="E24" s="161"/>
      <c r="F24" s="161"/>
      <c r="G24" s="161"/>
      <c r="H24" s="161"/>
      <c r="I24" s="87"/>
      <c r="J24" s="186">
        <v>0</v>
      </c>
      <c r="K24" s="187"/>
      <c r="L24" s="187"/>
      <c r="M24" s="188"/>
      <c r="N24" s="87"/>
      <c r="O24" s="88">
        <v>0</v>
      </c>
      <c r="P24" s="89"/>
      <c r="Q24" s="87"/>
      <c r="R24" s="90" t="s">
        <v>14</v>
      </c>
      <c r="S24" s="154"/>
      <c r="T24" s="91" t="str">
        <f t="shared" si="0"/>
        <v>Scr3Col2Row17</v>
      </c>
      <c r="U24" s="189" t="s">
        <v>493</v>
      </c>
      <c r="V24" s="189"/>
      <c r="W24" s="189"/>
      <c r="X24" s="189"/>
      <c r="Y24" s="189"/>
      <c r="Z24" s="189"/>
      <c r="AA24" s="87"/>
      <c r="AB24" s="186">
        <v>0</v>
      </c>
      <c r="AC24" s="187"/>
      <c r="AD24" s="187"/>
      <c r="AE24" s="188"/>
      <c r="AF24" s="87"/>
      <c r="AG24" s="88">
        <v>0</v>
      </c>
      <c r="AH24" s="89"/>
      <c r="AI24" s="87"/>
      <c r="AJ24" s="91" t="s">
        <v>0</v>
      </c>
      <c r="AK24" s="87"/>
      <c r="AL24" s="91" t="str">
        <f t="shared" si="5"/>
        <v>Scr3Col3Row17</v>
      </c>
      <c r="AM24" s="190" t="s">
        <v>541</v>
      </c>
      <c r="AN24" s="190"/>
      <c r="AO24" s="190"/>
      <c r="AP24" s="190"/>
      <c r="AQ24" s="190"/>
      <c r="AR24" s="190"/>
      <c r="AS24" s="87"/>
      <c r="AT24" s="186">
        <v>0</v>
      </c>
      <c r="AU24" s="187"/>
      <c r="AV24" s="187"/>
      <c r="AW24" s="188"/>
      <c r="AX24" s="87"/>
      <c r="AY24" s="88">
        <v>0</v>
      </c>
      <c r="AZ24" s="89"/>
      <c r="BA24" s="87"/>
      <c r="BB24" s="91" t="s">
        <v>0</v>
      </c>
      <c r="BC24" s="92"/>
      <c r="BD24" s="92">
        <f t="shared" si="9"/>
        <v>16</v>
      </c>
      <c r="BE24" s="92">
        <f t="shared" si="1"/>
        <v>16</v>
      </c>
      <c r="BF24" s="93">
        <f t="shared" si="6"/>
        <v>16</v>
      </c>
      <c r="BJ24" s="102" t="str">
        <f t="shared" si="7"/>
        <v>{Scr3Col1Row17, "Scr3 Col1 Row 17", 17, 1, 0, 0, 17, 19,"V"},</v>
      </c>
      <c r="BK24" s="80" t="str">
        <f t="shared" si="2"/>
        <v>{Scr3Col2Row17, "Scr3 Col2 Row 17", 17, 28, 0, 0, 17, 46,"A"},</v>
      </c>
      <c r="BL24" s="80" t="str">
        <f t="shared" si="3"/>
        <v>{Scr3Col3Row17, "Scr3 Col3 Row 17", 17, 55, 0, 0, 17, 73,"A"},</v>
      </c>
      <c r="BM24" s="103"/>
    </row>
    <row r="25" spans="1:65" x14ac:dyDescent="0.25">
      <c r="A25" s="84">
        <v>18</v>
      </c>
      <c r="B25" s="96" t="str">
        <f t="shared" si="4"/>
        <v>Scr3Col1Row18</v>
      </c>
      <c r="C25" s="165" t="s">
        <v>446</v>
      </c>
      <c r="D25" s="165"/>
      <c r="E25" s="165"/>
      <c r="F25" s="165"/>
      <c r="G25" s="165"/>
      <c r="H25" s="165"/>
      <c r="I25" s="79"/>
      <c r="J25" s="191">
        <v>0</v>
      </c>
      <c r="K25" s="192"/>
      <c r="L25" s="192"/>
      <c r="M25" s="193"/>
      <c r="N25" s="79"/>
      <c r="O25" s="97">
        <v>0</v>
      </c>
      <c r="P25" s="151"/>
      <c r="Q25" s="79"/>
      <c r="R25" s="99" t="s">
        <v>14</v>
      </c>
      <c r="S25" s="155"/>
      <c r="T25" s="100" t="str">
        <f t="shared" si="0"/>
        <v>Scr3Col2Row18</v>
      </c>
      <c r="U25" s="194" t="s">
        <v>494</v>
      </c>
      <c r="V25" s="194"/>
      <c r="W25" s="194"/>
      <c r="X25" s="194"/>
      <c r="Y25" s="194"/>
      <c r="Z25" s="194"/>
      <c r="AA25" s="79"/>
      <c r="AB25" s="191">
        <v>0</v>
      </c>
      <c r="AC25" s="192"/>
      <c r="AD25" s="192"/>
      <c r="AE25" s="193"/>
      <c r="AF25" s="79"/>
      <c r="AG25" s="97">
        <v>1</v>
      </c>
      <c r="AH25" s="151"/>
      <c r="AI25" s="79"/>
      <c r="AJ25" s="100" t="s">
        <v>14</v>
      </c>
      <c r="AK25" s="79"/>
      <c r="AL25" s="100" t="str">
        <f t="shared" si="5"/>
        <v>Scr3Col3Row18</v>
      </c>
      <c r="AM25" s="195" t="s">
        <v>542</v>
      </c>
      <c r="AN25" s="195"/>
      <c r="AO25" s="195"/>
      <c r="AP25" s="195"/>
      <c r="AQ25" s="195"/>
      <c r="AR25" s="195"/>
      <c r="AS25" s="79"/>
      <c r="AT25" s="191">
        <v>0</v>
      </c>
      <c r="AU25" s="192"/>
      <c r="AV25" s="192"/>
      <c r="AW25" s="193"/>
      <c r="AX25" s="79"/>
      <c r="AY25" s="97">
        <v>0</v>
      </c>
      <c r="AZ25" s="151"/>
      <c r="BA25" s="79"/>
      <c r="BB25" s="100" t="s">
        <v>0</v>
      </c>
      <c r="BC25" s="80"/>
      <c r="BD25" s="80">
        <f t="shared" si="9"/>
        <v>16</v>
      </c>
      <c r="BE25" s="80">
        <f t="shared" si="1"/>
        <v>16</v>
      </c>
      <c r="BF25" s="101">
        <f t="shared" si="6"/>
        <v>16</v>
      </c>
      <c r="BJ25" s="102" t="str">
        <f t="shared" si="7"/>
        <v>{Scr3Col1Row18, "Scr3 Col1 Row 18", 18, 1, 0, 0, 18, 19,"V"},</v>
      </c>
      <c r="BK25" s="80" t="str">
        <f t="shared" si="2"/>
        <v>{Scr3Col2Row18, "Scr3 Col2 Row 18", 18, 28, 0, 1, 18, 46,"V"},</v>
      </c>
      <c r="BL25" s="80" t="str">
        <f t="shared" si="3"/>
        <v>{Scr3Col3Row18, "Scr3 Col3 Row 18", 18, 55, 0, 0, 18, 73,"A"},</v>
      </c>
      <c r="BM25" s="103"/>
    </row>
    <row r="26" spans="1:65" x14ac:dyDescent="0.25">
      <c r="A26" s="84">
        <v>19</v>
      </c>
      <c r="B26" s="96" t="str">
        <f t="shared" si="4"/>
        <v>Scr3Col1Row19</v>
      </c>
      <c r="C26" s="165" t="s">
        <v>447</v>
      </c>
      <c r="D26" s="165"/>
      <c r="E26" s="165"/>
      <c r="F26" s="165"/>
      <c r="G26" s="165"/>
      <c r="H26" s="165"/>
      <c r="I26" s="79"/>
      <c r="J26" s="191">
        <v>0</v>
      </c>
      <c r="K26" s="192"/>
      <c r="L26" s="192"/>
      <c r="M26" s="193"/>
      <c r="N26" s="79"/>
      <c r="O26" s="97">
        <v>0</v>
      </c>
      <c r="P26" s="151"/>
      <c r="Q26" s="79"/>
      <c r="R26" s="99" t="s">
        <v>14</v>
      </c>
      <c r="S26" s="155"/>
      <c r="T26" s="100" t="str">
        <f t="shared" si="0"/>
        <v>Scr3Col2Row19</v>
      </c>
      <c r="U26" s="194" t="s">
        <v>495</v>
      </c>
      <c r="V26" s="194"/>
      <c r="W26" s="194"/>
      <c r="X26" s="194"/>
      <c r="Y26" s="194"/>
      <c r="Z26" s="194"/>
      <c r="AA26" s="79"/>
      <c r="AB26" s="191">
        <v>0</v>
      </c>
      <c r="AC26" s="192"/>
      <c r="AD26" s="192"/>
      <c r="AE26" s="193"/>
      <c r="AF26" s="79"/>
      <c r="AG26" s="97">
        <v>1</v>
      </c>
      <c r="AH26" s="151"/>
      <c r="AI26" s="79"/>
      <c r="AJ26" s="100" t="s">
        <v>14</v>
      </c>
      <c r="AK26" s="79"/>
      <c r="AL26" s="100" t="str">
        <f t="shared" si="5"/>
        <v>Scr3Col3Row19</v>
      </c>
      <c r="AM26" s="195" t="s">
        <v>543</v>
      </c>
      <c r="AN26" s="195"/>
      <c r="AO26" s="195"/>
      <c r="AP26" s="195"/>
      <c r="AQ26" s="195"/>
      <c r="AR26" s="195"/>
      <c r="AS26" s="79"/>
      <c r="AT26" s="191">
        <v>0</v>
      </c>
      <c r="AU26" s="192"/>
      <c r="AV26" s="192"/>
      <c r="AW26" s="193"/>
      <c r="AX26" s="79"/>
      <c r="AY26" s="97">
        <v>0</v>
      </c>
      <c r="AZ26" s="151"/>
      <c r="BA26" s="79"/>
      <c r="BB26" s="100" t="s">
        <v>0</v>
      </c>
      <c r="BC26" s="80"/>
      <c r="BD26" s="80">
        <f t="shared" si="9"/>
        <v>16</v>
      </c>
      <c r="BE26" s="80">
        <f t="shared" si="1"/>
        <v>16</v>
      </c>
      <c r="BF26" s="101">
        <f t="shared" si="6"/>
        <v>16</v>
      </c>
      <c r="BJ26" s="102" t="str">
        <f t="shared" si="7"/>
        <v>{Scr3Col1Row19, "Scr3 Col1 Row 19", 19, 1, 0, 0, 19, 19,"V"},</v>
      </c>
      <c r="BK26" s="80" t="str">
        <f t="shared" si="2"/>
        <v>{Scr3Col2Row19, "Scr3 Col2 Row 19", 19, 28, 0, 1, 19, 46,"V"},</v>
      </c>
      <c r="BL26" s="80" t="str">
        <f t="shared" si="3"/>
        <v>{Scr3Col3Row19, "Scr3 Col3 Row 19", 19, 55, 0, 0, 19, 73,"A"},</v>
      </c>
      <c r="BM26" s="103"/>
    </row>
    <row r="27" spans="1:65" x14ac:dyDescent="0.25">
      <c r="A27" s="84">
        <v>20</v>
      </c>
      <c r="B27" s="96" t="str">
        <f t="shared" si="4"/>
        <v>Scr3Col1Row20</v>
      </c>
      <c r="C27" s="165" t="s">
        <v>448</v>
      </c>
      <c r="D27" s="165"/>
      <c r="E27" s="165"/>
      <c r="F27" s="165"/>
      <c r="G27" s="165"/>
      <c r="H27" s="165"/>
      <c r="I27" s="79"/>
      <c r="J27" s="191">
        <v>0</v>
      </c>
      <c r="K27" s="192"/>
      <c r="L27" s="192"/>
      <c r="M27" s="193"/>
      <c r="N27" s="79"/>
      <c r="O27" s="97">
        <v>0</v>
      </c>
      <c r="P27" s="151"/>
      <c r="Q27" s="79"/>
      <c r="R27" s="99" t="s">
        <v>14</v>
      </c>
      <c r="S27" s="155"/>
      <c r="T27" s="100" t="str">
        <f t="shared" si="0"/>
        <v>Scr3Col2Row20</v>
      </c>
      <c r="U27" s="194" t="s">
        <v>496</v>
      </c>
      <c r="V27" s="194"/>
      <c r="W27" s="194"/>
      <c r="X27" s="194"/>
      <c r="Y27" s="194"/>
      <c r="Z27" s="194"/>
      <c r="AA27" s="79"/>
      <c r="AB27" s="191">
        <v>0</v>
      </c>
      <c r="AC27" s="192"/>
      <c r="AD27" s="192"/>
      <c r="AE27" s="193"/>
      <c r="AF27" s="79"/>
      <c r="AG27" s="97">
        <v>1</v>
      </c>
      <c r="AH27" s="151"/>
      <c r="AI27" s="79"/>
      <c r="AJ27" s="100" t="s">
        <v>14</v>
      </c>
      <c r="AK27" s="79"/>
      <c r="AL27" s="100" t="str">
        <f t="shared" si="5"/>
        <v>Scr3Col3Row20</v>
      </c>
      <c r="AM27" s="195" t="s">
        <v>544</v>
      </c>
      <c r="AN27" s="195"/>
      <c r="AO27" s="195"/>
      <c r="AP27" s="195"/>
      <c r="AQ27" s="195"/>
      <c r="AR27" s="195"/>
      <c r="AS27" s="79"/>
      <c r="AT27" s="191">
        <v>0</v>
      </c>
      <c r="AU27" s="192"/>
      <c r="AV27" s="192"/>
      <c r="AW27" s="193"/>
      <c r="AX27" s="79"/>
      <c r="AY27" s="97">
        <v>0</v>
      </c>
      <c r="AZ27" s="151"/>
      <c r="BA27" s="79"/>
      <c r="BB27" s="100" t="s">
        <v>0</v>
      </c>
      <c r="BC27" s="80"/>
      <c r="BD27" s="80">
        <f t="shared" si="9"/>
        <v>16</v>
      </c>
      <c r="BE27" s="80">
        <f t="shared" si="1"/>
        <v>16</v>
      </c>
      <c r="BF27" s="101">
        <f t="shared" si="6"/>
        <v>16</v>
      </c>
      <c r="BJ27" s="102" t="str">
        <f t="shared" si="7"/>
        <v>{Scr3Col1Row20, "Scr3 Col1 Row 20", 20, 1, 0, 0, 20, 19,"V"},</v>
      </c>
      <c r="BK27" s="80" t="str">
        <f t="shared" si="2"/>
        <v>{Scr3Col2Row20, "Scr3 Col2 Row 20", 20, 28, 0, 1, 20, 46,"V"},</v>
      </c>
      <c r="BL27" s="80" t="str">
        <f t="shared" si="3"/>
        <v>{Scr3Col3Row20, "Scr3 Col3 Row 20", 20, 55, 0, 0, 20, 73,"A"},</v>
      </c>
      <c r="BM27" s="103"/>
    </row>
    <row r="28" spans="1:65" x14ac:dyDescent="0.25">
      <c r="A28" s="84">
        <v>21</v>
      </c>
      <c r="B28" s="96" t="str">
        <f t="shared" si="4"/>
        <v>Scr3Col1Row21</v>
      </c>
      <c r="C28" s="165" t="s">
        <v>449</v>
      </c>
      <c r="D28" s="165"/>
      <c r="E28" s="165"/>
      <c r="F28" s="165"/>
      <c r="G28" s="165"/>
      <c r="H28" s="165"/>
      <c r="I28" s="79"/>
      <c r="J28" s="191">
        <v>0</v>
      </c>
      <c r="K28" s="192"/>
      <c r="L28" s="192"/>
      <c r="M28" s="193"/>
      <c r="N28" s="79"/>
      <c r="O28" s="97">
        <v>0</v>
      </c>
      <c r="P28" s="151"/>
      <c r="Q28" s="79"/>
      <c r="R28" s="99" t="s">
        <v>14</v>
      </c>
      <c r="S28" s="155"/>
      <c r="T28" s="100" t="str">
        <f t="shared" si="0"/>
        <v>Scr3Col2Row21</v>
      </c>
      <c r="U28" s="194" t="s">
        <v>497</v>
      </c>
      <c r="V28" s="194"/>
      <c r="W28" s="194"/>
      <c r="X28" s="194"/>
      <c r="Y28" s="194"/>
      <c r="Z28" s="194"/>
      <c r="AA28" s="79"/>
      <c r="AB28" s="191">
        <v>0</v>
      </c>
      <c r="AC28" s="192"/>
      <c r="AD28" s="192"/>
      <c r="AE28" s="193"/>
      <c r="AF28" s="79"/>
      <c r="AG28" s="97">
        <v>0</v>
      </c>
      <c r="AH28" s="151"/>
      <c r="AI28" s="79"/>
      <c r="AJ28" s="100" t="s">
        <v>14</v>
      </c>
      <c r="AK28" s="79"/>
      <c r="AL28" s="100" t="str">
        <f t="shared" si="5"/>
        <v>Scr3Col3Row21</v>
      </c>
      <c r="AM28" s="195" t="s">
        <v>545</v>
      </c>
      <c r="AN28" s="195"/>
      <c r="AO28" s="195"/>
      <c r="AP28" s="195"/>
      <c r="AQ28" s="195"/>
      <c r="AR28" s="195"/>
      <c r="AS28" s="79"/>
      <c r="AT28" s="191">
        <v>0</v>
      </c>
      <c r="AU28" s="192"/>
      <c r="AV28" s="192"/>
      <c r="AW28" s="193"/>
      <c r="AX28" s="79"/>
      <c r="AY28" s="97">
        <v>0</v>
      </c>
      <c r="AZ28" s="151"/>
      <c r="BA28" s="79"/>
      <c r="BB28" s="100" t="s">
        <v>0</v>
      </c>
      <c r="BC28" s="80"/>
      <c r="BD28" s="80">
        <f t="shared" si="9"/>
        <v>16</v>
      </c>
      <c r="BE28" s="80">
        <f t="shared" si="1"/>
        <v>16</v>
      </c>
      <c r="BF28" s="101">
        <f t="shared" si="6"/>
        <v>16</v>
      </c>
      <c r="BJ28" s="102" t="str">
        <f t="shared" si="7"/>
        <v>{Scr3Col1Row21, "Scr3 Col1 Row 21", 21, 1, 0, 0, 21, 19,"V"},</v>
      </c>
      <c r="BK28" s="80" t="str">
        <f t="shared" si="2"/>
        <v>{Scr3Col2Row21, "Scr3 Col2 Row 21", 21, 28, 0, 0, 21, 46,"V"},</v>
      </c>
      <c r="BL28" s="80" t="str">
        <f t="shared" si="3"/>
        <v>{Scr3Col3Row21, "Scr3 Col3 Row 21", 21, 55, 0, 0, 21, 73,"A"},</v>
      </c>
      <c r="BM28" s="103"/>
    </row>
    <row r="29" spans="1:65" x14ac:dyDescent="0.25">
      <c r="A29" s="84">
        <v>22</v>
      </c>
      <c r="B29" s="96" t="str">
        <f t="shared" si="4"/>
        <v>Scr3Col1Row22</v>
      </c>
      <c r="C29" s="165" t="s">
        <v>450</v>
      </c>
      <c r="D29" s="165"/>
      <c r="E29" s="165"/>
      <c r="F29" s="165"/>
      <c r="G29" s="165"/>
      <c r="H29" s="165"/>
      <c r="I29" s="79"/>
      <c r="J29" s="191">
        <v>0</v>
      </c>
      <c r="K29" s="192"/>
      <c r="L29" s="192"/>
      <c r="M29" s="193"/>
      <c r="N29" s="79"/>
      <c r="O29" s="97">
        <v>0</v>
      </c>
      <c r="P29" s="151"/>
      <c r="Q29" s="79"/>
      <c r="R29" s="99" t="s">
        <v>14</v>
      </c>
      <c r="S29" s="155"/>
      <c r="T29" s="100" t="str">
        <f t="shared" si="0"/>
        <v>Scr3Col2Row22</v>
      </c>
      <c r="U29" s="194" t="s">
        <v>498</v>
      </c>
      <c r="V29" s="194"/>
      <c r="W29" s="194"/>
      <c r="X29" s="194"/>
      <c r="Y29" s="194"/>
      <c r="Z29" s="194"/>
      <c r="AA29" s="79"/>
      <c r="AB29" s="191">
        <v>0</v>
      </c>
      <c r="AC29" s="192"/>
      <c r="AD29" s="192"/>
      <c r="AE29" s="193"/>
      <c r="AF29" s="79"/>
      <c r="AG29" s="97">
        <v>0</v>
      </c>
      <c r="AH29" s="151"/>
      <c r="AI29" s="79"/>
      <c r="AJ29" s="100" t="s">
        <v>14</v>
      </c>
      <c r="AK29" s="79"/>
      <c r="AL29" s="100" t="str">
        <f t="shared" si="5"/>
        <v>Scr3Col3Row22</v>
      </c>
      <c r="AM29" s="195" t="s">
        <v>546</v>
      </c>
      <c r="AN29" s="195"/>
      <c r="AO29" s="195"/>
      <c r="AP29" s="195"/>
      <c r="AQ29" s="195"/>
      <c r="AR29" s="195"/>
      <c r="AS29" s="79"/>
      <c r="AT29" s="191">
        <v>0</v>
      </c>
      <c r="AU29" s="192"/>
      <c r="AV29" s="192"/>
      <c r="AW29" s="193"/>
      <c r="AX29" s="79"/>
      <c r="AY29" s="97">
        <v>1</v>
      </c>
      <c r="AZ29" s="151"/>
      <c r="BA29" s="79"/>
      <c r="BB29" s="100" t="s">
        <v>14</v>
      </c>
      <c r="BC29" s="80"/>
      <c r="BD29" s="80">
        <f t="shared" si="9"/>
        <v>16</v>
      </c>
      <c r="BE29" s="80">
        <f t="shared" si="1"/>
        <v>16</v>
      </c>
      <c r="BF29" s="101">
        <f t="shared" si="6"/>
        <v>16</v>
      </c>
      <c r="BJ29" s="102" t="str">
        <f t="shared" si="7"/>
        <v>{Scr3Col1Row22, "Scr3 Col1 Row 22", 22, 1, 0, 0, 22, 19,"V"},</v>
      </c>
      <c r="BK29" s="80" t="str">
        <f t="shared" si="2"/>
        <v>{Scr3Col2Row22, "Scr3 Col2 Row 22", 22, 28, 0, 0, 22, 46,"V"},</v>
      </c>
      <c r="BL29" s="80" t="str">
        <f t="shared" si="3"/>
        <v>{Scr3Col3Row22, "Scr3 Col3 Row 22", 22, 55, 0, 1, 22, 73,"V"},</v>
      </c>
      <c r="BM29" s="103"/>
    </row>
    <row r="30" spans="1:65" x14ac:dyDescent="0.25">
      <c r="A30" s="84">
        <v>23</v>
      </c>
      <c r="B30" s="96" t="str">
        <f t="shared" si="4"/>
        <v>Scr3Col1Row23</v>
      </c>
      <c r="C30" s="165" t="s">
        <v>451</v>
      </c>
      <c r="D30" s="165"/>
      <c r="E30" s="165"/>
      <c r="F30" s="165"/>
      <c r="G30" s="165"/>
      <c r="H30" s="165"/>
      <c r="I30" s="79"/>
      <c r="J30" s="191">
        <v>0</v>
      </c>
      <c r="K30" s="192"/>
      <c r="L30" s="192"/>
      <c r="M30" s="193"/>
      <c r="N30" s="79"/>
      <c r="O30" s="97">
        <v>0</v>
      </c>
      <c r="P30" s="151"/>
      <c r="Q30" s="79"/>
      <c r="R30" s="99" t="s">
        <v>14</v>
      </c>
      <c r="S30" s="155"/>
      <c r="T30" s="100" t="str">
        <f t="shared" si="0"/>
        <v>Scr3Col2Row23</v>
      </c>
      <c r="U30" s="194" t="s">
        <v>499</v>
      </c>
      <c r="V30" s="194"/>
      <c r="W30" s="194"/>
      <c r="X30" s="194"/>
      <c r="Y30" s="194"/>
      <c r="Z30" s="194"/>
      <c r="AA30" s="79"/>
      <c r="AB30" s="191">
        <v>0</v>
      </c>
      <c r="AC30" s="192"/>
      <c r="AD30" s="192"/>
      <c r="AE30" s="193"/>
      <c r="AF30" s="79"/>
      <c r="AG30" s="97">
        <v>0</v>
      </c>
      <c r="AH30" s="151"/>
      <c r="AI30" s="79"/>
      <c r="AJ30" s="100" t="s">
        <v>14</v>
      </c>
      <c r="AK30" s="79"/>
      <c r="AL30" s="100" t="str">
        <f t="shared" si="5"/>
        <v>Scr3Col3Row23</v>
      </c>
      <c r="AM30" s="195" t="s">
        <v>547</v>
      </c>
      <c r="AN30" s="195"/>
      <c r="AO30" s="195"/>
      <c r="AP30" s="195"/>
      <c r="AQ30" s="195"/>
      <c r="AR30" s="195"/>
      <c r="AS30" s="79"/>
      <c r="AT30" s="191">
        <v>0</v>
      </c>
      <c r="AU30" s="192"/>
      <c r="AV30" s="192"/>
      <c r="AW30" s="193"/>
      <c r="AX30" s="79"/>
      <c r="AY30" s="97">
        <v>1</v>
      </c>
      <c r="AZ30" s="151"/>
      <c r="BA30" s="79"/>
      <c r="BB30" s="100" t="s">
        <v>14</v>
      </c>
      <c r="BC30" s="80"/>
      <c r="BD30" s="80">
        <f>LEN(C31)</f>
        <v>16</v>
      </c>
      <c r="BE30" s="80">
        <f t="shared" si="1"/>
        <v>16</v>
      </c>
      <c r="BF30" s="101">
        <f t="shared" si="6"/>
        <v>16</v>
      </c>
      <c r="BJ30" s="102" t="str">
        <f t="shared" si="7"/>
        <v>{Scr3Col1Row23, "Scr3 Col1 Row 23", 23, 1, 0, 0, 23, 19,"V"},</v>
      </c>
      <c r="BK30" s="80" t="str">
        <f t="shared" si="2"/>
        <v>{Scr3Col2Row23, "Scr3 Col2 Row 23", 23, 28, 0, 0, 23, 46,"V"},</v>
      </c>
      <c r="BL30" s="80" t="str">
        <f t="shared" si="3"/>
        <v>{Scr3Col3Row23, "Scr3 Col3 Row 23", 23, 55, 0, 1, 23, 73,"V"},</v>
      </c>
      <c r="BM30" s="103"/>
    </row>
    <row r="31" spans="1:65" ht="15.75" thickBot="1" x14ac:dyDescent="0.3">
      <c r="A31" s="84">
        <v>24</v>
      </c>
      <c r="B31" s="104" t="str">
        <f>SUBSTITUTE(PROPER(C31)," ","")</f>
        <v>Scr3Col1Row24</v>
      </c>
      <c r="C31" s="169" t="s">
        <v>452</v>
      </c>
      <c r="D31" s="169"/>
      <c r="E31" s="169"/>
      <c r="F31" s="169"/>
      <c r="G31" s="169"/>
      <c r="H31" s="169"/>
      <c r="I31" s="105"/>
      <c r="J31" s="196">
        <v>0</v>
      </c>
      <c r="K31" s="197"/>
      <c r="L31" s="197"/>
      <c r="M31" s="198"/>
      <c r="N31" s="105"/>
      <c r="O31" s="106">
        <v>0</v>
      </c>
      <c r="P31" s="107"/>
      <c r="Q31" s="105"/>
      <c r="R31" s="108" t="s">
        <v>14</v>
      </c>
      <c r="S31" s="156"/>
      <c r="T31" s="100" t="str">
        <f t="shared" si="0"/>
        <v>Scr3Col2Row24</v>
      </c>
      <c r="U31" s="199" t="s">
        <v>500</v>
      </c>
      <c r="V31" s="199"/>
      <c r="W31" s="199"/>
      <c r="X31" s="199"/>
      <c r="Y31" s="199"/>
      <c r="Z31" s="199"/>
      <c r="AA31" s="105"/>
      <c r="AB31" s="196">
        <v>0</v>
      </c>
      <c r="AC31" s="197"/>
      <c r="AD31" s="197"/>
      <c r="AE31" s="198"/>
      <c r="AF31" s="105"/>
      <c r="AG31" s="106">
        <v>1</v>
      </c>
      <c r="AH31" s="107"/>
      <c r="AI31" s="105"/>
      <c r="AJ31" s="109" t="s">
        <v>14</v>
      </c>
      <c r="AK31" s="105"/>
      <c r="AL31" s="109" t="str">
        <f t="shared" si="5"/>
        <v>Scr3Col3Row24</v>
      </c>
      <c r="AM31" s="200" t="s">
        <v>548</v>
      </c>
      <c r="AN31" s="200"/>
      <c r="AO31" s="200"/>
      <c r="AP31" s="200"/>
      <c r="AQ31" s="200"/>
      <c r="AR31" s="200"/>
      <c r="AS31" s="105"/>
      <c r="AT31" s="196">
        <v>0</v>
      </c>
      <c r="AU31" s="197"/>
      <c r="AV31" s="197"/>
      <c r="AW31" s="198"/>
      <c r="AX31" s="105"/>
      <c r="AY31" s="106">
        <v>0</v>
      </c>
      <c r="AZ31" s="107"/>
      <c r="BA31" s="105"/>
      <c r="BB31" s="109" t="s">
        <v>0</v>
      </c>
      <c r="BC31" s="110"/>
      <c r="BD31" s="110">
        <f>LEN(U8)</f>
        <v>15</v>
      </c>
      <c r="BE31" s="110">
        <f t="shared" si="1"/>
        <v>16</v>
      </c>
      <c r="BF31" s="111">
        <f t="shared" si="6"/>
        <v>16</v>
      </c>
      <c r="BJ31" s="102" t="str">
        <f t="shared" si="7"/>
        <v>{Scr3Col1Row24, "Scr3 Col1 Row 24", 24, 1, 0, 0, 24, 19,"V"},</v>
      </c>
      <c r="BK31" s="80" t="str">
        <f t="shared" si="2"/>
        <v>{Scr3Col2Row24, "Scr3 Col2 Row 24", 24, 28, 0, 1, 24, 46,"V"},</v>
      </c>
      <c r="BL31" s="80" t="str">
        <f t="shared" si="3"/>
        <v>{Scr3Col3Row24, "Scr3 Col3 Row 24", 24, 55, 0, 0, 24, 73,"A"},</v>
      </c>
      <c r="BM31" s="103"/>
    </row>
    <row r="32" spans="1:65" x14ac:dyDescent="0.25">
      <c r="A32" s="84">
        <v>25</v>
      </c>
      <c r="B32" s="86" t="str">
        <f>SUBSTITUTE(PROPER(C32)," ","")</f>
        <v>Scr3Col1Row25</v>
      </c>
      <c r="C32" s="161" t="s">
        <v>453</v>
      </c>
      <c r="D32" s="161"/>
      <c r="E32" s="161"/>
      <c r="F32" s="161"/>
      <c r="G32" s="161"/>
      <c r="H32" s="161"/>
      <c r="I32" s="87"/>
      <c r="J32" s="202">
        <v>1</v>
      </c>
      <c r="K32" s="202"/>
      <c r="L32" s="202"/>
      <c r="M32" s="202"/>
      <c r="N32" s="87"/>
      <c r="O32" s="88">
        <v>2</v>
      </c>
      <c r="P32" s="89"/>
      <c r="Q32" s="87"/>
      <c r="R32" s="91" t="s">
        <v>8</v>
      </c>
      <c r="S32" s="87"/>
      <c r="T32" s="91" t="str">
        <f t="shared" si="0"/>
        <v>Scr3Col2Row25</v>
      </c>
      <c r="U32" s="189" t="s">
        <v>501</v>
      </c>
      <c r="V32" s="189"/>
      <c r="W32" s="189"/>
      <c r="X32" s="189"/>
      <c r="Y32" s="189"/>
      <c r="Z32" s="189"/>
      <c r="AA32" s="87"/>
      <c r="AB32" s="202">
        <v>25</v>
      </c>
      <c r="AC32" s="202"/>
      <c r="AD32" s="202"/>
      <c r="AE32" s="202"/>
      <c r="AF32" s="87"/>
      <c r="AG32" s="88">
        <v>2</v>
      </c>
      <c r="AH32" s="89"/>
      <c r="AI32" s="87"/>
      <c r="AJ32" s="91" t="s">
        <v>14</v>
      </c>
      <c r="AK32" s="87"/>
      <c r="AL32" s="91" t="str">
        <f t="shared" si="5"/>
        <v>Scr3Col3Row25</v>
      </c>
      <c r="AM32" s="190" t="s">
        <v>549</v>
      </c>
      <c r="AN32" s="190"/>
      <c r="AO32" s="190"/>
      <c r="AP32" s="190"/>
      <c r="AQ32" s="190"/>
      <c r="AR32" s="190"/>
      <c r="AS32" s="87"/>
      <c r="AT32" s="202">
        <v>49</v>
      </c>
      <c r="AU32" s="202"/>
      <c r="AV32" s="202"/>
      <c r="AW32" s="202"/>
      <c r="AX32" s="87"/>
      <c r="AY32" s="88">
        <v>2</v>
      </c>
      <c r="AZ32" s="89"/>
      <c r="BA32" s="87"/>
      <c r="BB32" s="91" t="s">
        <v>14</v>
      </c>
      <c r="BC32" s="92"/>
      <c r="BD32" s="92">
        <f>LEN(C32)</f>
        <v>16</v>
      </c>
      <c r="BE32" s="92">
        <f>LEN(U32)</f>
        <v>16</v>
      </c>
      <c r="BF32" s="93">
        <f>LEN(AM32)</f>
        <v>16</v>
      </c>
      <c r="BJ32" s="102" t="str">
        <f t="shared" si="7"/>
        <v>{Scr3Col1Row25, "Scr3 Col1 Row 25", 25, 1, 0, 2, 25, 19,"C"},</v>
      </c>
      <c r="BK32" s="80" t="str">
        <f>("{"&amp;T32&amp;", "&amp;""""&amp;U32&amp;""""&amp;", "&amp;A32&amp;", "&amp;$U$7&amp;", "&amp;AB32&amp;", "&amp;AG32&amp;", "&amp;A32&amp;", "&amp;$AB$7&amp;","&amp;""""&amp;AJ32&amp;""""&amp;"},")</f>
        <v>{Scr3Col2Row25, "Scr3 Col2 Row 25", 25, 28, 25, 2, 25, 46,"V"},</v>
      </c>
      <c r="BL32" s="80" t="str">
        <f>("{"&amp;AL32&amp;", "&amp;""""&amp;AM32&amp;""""&amp;", "&amp;A32&amp;", "&amp;$AM$7&amp;", "&amp;AT32&amp;", "&amp;AY32&amp;", "&amp;A32&amp;", "&amp;$AT$7&amp;","&amp;""""&amp;BB32&amp;""""&amp;"},")</f>
        <v>{Scr3Col3Row25, "Scr3 Col3 Row 25", 25, 55, 49, 2, 25, 73,"V"},</v>
      </c>
      <c r="BM32" s="103"/>
    </row>
    <row r="33" spans="1:65" x14ac:dyDescent="0.25">
      <c r="A33" s="84">
        <v>26</v>
      </c>
      <c r="B33" s="96" t="str">
        <f t="shared" ref="B33:B55" si="10">SUBSTITUTE(PROPER(C33)," ","")</f>
        <v>Scr3Col1Row26</v>
      </c>
      <c r="C33" s="165" t="s">
        <v>454</v>
      </c>
      <c r="D33" s="165"/>
      <c r="E33" s="165"/>
      <c r="F33" s="165"/>
      <c r="G33" s="165"/>
      <c r="H33" s="165"/>
      <c r="I33" s="79"/>
      <c r="J33" s="201">
        <v>2</v>
      </c>
      <c r="K33" s="201"/>
      <c r="L33" s="201"/>
      <c r="M33" s="201"/>
      <c r="N33" s="79"/>
      <c r="O33" s="97">
        <v>2</v>
      </c>
      <c r="P33" s="151"/>
      <c r="Q33" s="79"/>
      <c r="R33" s="100" t="s">
        <v>8</v>
      </c>
      <c r="S33" s="79"/>
      <c r="T33" s="100" t="str">
        <f t="shared" si="0"/>
        <v>Scr3Col2Row26</v>
      </c>
      <c r="U33" s="194" t="s">
        <v>502</v>
      </c>
      <c r="V33" s="194"/>
      <c r="W33" s="194"/>
      <c r="X33" s="194"/>
      <c r="Y33" s="194"/>
      <c r="Z33" s="194"/>
      <c r="AA33" s="79"/>
      <c r="AB33" s="201">
        <v>26</v>
      </c>
      <c r="AC33" s="201"/>
      <c r="AD33" s="201"/>
      <c r="AE33" s="201"/>
      <c r="AF33" s="79"/>
      <c r="AG33" s="97">
        <v>0</v>
      </c>
      <c r="AH33" s="151"/>
      <c r="AI33" s="79"/>
      <c r="AJ33" s="100" t="s">
        <v>0</v>
      </c>
      <c r="AK33" s="79"/>
      <c r="AL33" s="100" t="str">
        <f t="shared" si="5"/>
        <v>Scr3Col3Row26</v>
      </c>
      <c r="AM33" s="195" t="s">
        <v>550</v>
      </c>
      <c r="AN33" s="195"/>
      <c r="AO33" s="195"/>
      <c r="AP33" s="195"/>
      <c r="AQ33" s="195"/>
      <c r="AR33" s="195"/>
      <c r="AS33" s="79"/>
      <c r="AT33" s="201">
        <v>50</v>
      </c>
      <c r="AU33" s="201"/>
      <c r="AV33" s="201"/>
      <c r="AW33" s="201"/>
      <c r="AX33" s="79"/>
      <c r="AY33" s="97">
        <v>0</v>
      </c>
      <c r="AZ33" s="151"/>
      <c r="BA33" s="79"/>
      <c r="BB33" s="100" t="s">
        <v>0</v>
      </c>
      <c r="BC33" s="80"/>
      <c r="BD33" s="80">
        <f t="shared" ref="BD33:BD55" si="11">LEN(C33)</f>
        <v>16</v>
      </c>
      <c r="BE33" s="80">
        <f t="shared" ref="BE33:BE55" si="12">LEN(U33)</f>
        <v>16</v>
      </c>
      <c r="BF33" s="101">
        <f t="shared" ref="BF33:BF55" si="13">LEN(AM33)</f>
        <v>16</v>
      </c>
      <c r="BJ33" s="102" t="str">
        <f t="shared" si="7"/>
        <v>{Scr3Col1Row26, "Scr3 Col1 Row 26", 26, 1, 0, 2, 26, 19,"C"},</v>
      </c>
      <c r="BK33" s="80" t="str">
        <f t="shared" ref="BK33:BK55" si="14">("{"&amp;T33&amp;", "&amp;""""&amp;U33&amp;""""&amp;", "&amp;A33&amp;", "&amp;$U$7&amp;", "&amp;AB33&amp;", "&amp;AG33&amp;", "&amp;A33&amp;", "&amp;$AB$7&amp;","&amp;""""&amp;AJ33&amp;""""&amp;"},")</f>
        <v>{Scr3Col2Row26, "Scr3 Col2 Row 26", 26, 28, 26, 0, 26, 46,"A"},</v>
      </c>
      <c r="BL33" s="80" t="str">
        <f t="shared" ref="BL33:BL55" si="15">("{"&amp;AL33&amp;", "&amp;""""&amp;AM33&amp;""""&amp;", "&amp;A33&amp;", "&amp;$AM$7&amp;", "&amp;AT33&amp;", "&amp;AY33&amp;", "&amp;A33&amp;", "&amp;$AT$7&amp;","&amp;""""&amp;BB33&amp;""""&amp;"},")</f>
        <v>{Scr3Col3Row26, "Scr3 Col3 Row 26", 26, 55, 50, 0, 26, 73,"A"},</v>
      </c>
      <c r="BM33" s="103"/>
    </row>
    <row r="34" spans="1:65" x14ac:dyDescent="0.25">
      <c r="A34" s="84">
        <v>27</v>
      </c>
      <c r="B34" s="96" t="str">
        <f t="shared" si="10"/>
        <v>Scr3Col1Row27</v>
      </c>
      <c r="C34" s="165" t="s">
        <v>455</v>
      </c>
      <c r="D34" s="165"/>
      <c r="E34" s="165"/>
      <c r="F34" s="165"/>
      <c r="G34" s="165"/>
      <c r="H34" s="165"/>
      <c r="I34" s="79"/>
      <c r="J34" s="201">
        <v>3</v>
      </c>
      <c r="K34" s="201"/>
      <c r="L34" s="201"/>
      <c r="M34" s="201"/>
      <c r="N34" s="79"/>
      <c r="O34" s="97">
        <v>2</v>
      </c>
      <c r="P34" s="151"/>
      <c r="Q34" s="79"/>
      <c r="R34" s="100" t="s">
        <v>8</v>
      </c>
      <c r="S34" s="79"/>
      <c r="T34" s="100" t="str">
        <f t="shared" si="0"/>
        <v>Scr3Col2Row27</v>
      </c>
      <c r="U34" s="194" t="s">
        <v>503</v>
      </c>
      <c r="V34" s="194"/>
      <c r="W34" s="194"/>
      <c r="X34" s="194"/>
      <c r="Y34" s="194"/>
      <c r="Z34" s="194"/>
      <c r="AA34" s="79"/>
      <c r="AB34" s="201">
        <v>27</v>
      </c>
      <c r="AC34" s="201"/>
      <c r="AD34" s="201"/>
      <c r="AE34" s="201"/>
      <c r="AF34" s="79"/>
      <c r="AG34" s="97">
        <v>2</v>
      </c>
      <c r="AH34" s="151"/>
      <c r="AI34" s="79"/>
      <c r="AJ34" s="100" t="s">
        <v>29</v>
      </c>
      <c r="AK34" s="79"/>
      <c r="AL34" s="100" t="str">
        <f t="shared" si="5"/>
        <v>Scr3Col3Row27</v>
      </c>
      <c r="AM34" s="195" t="s">
        <v>551</v>
      </c>
      <c r="AN34" s="195"/>
      <c r="AO34" s="195"/>
      <c r="AP34" s="195"/>
      <c r="AQ34" s="195"/>
      <c r="AR34" s="195"/>
      <c r="AS34" s="79"/>
      <c r="AT34" s="201">
        <v>51</v>
      </c>
      <c r="AU34" s="201"/>
      <c r="AV34" s="201"/>
      <c r="AW34" s="201"/>
      <c r="AX34" s="79"/>
      <c r="AY34" s="97">
        <v>2</v>
      </c>
      <c r="AZ34" s="151"/>
      <c r="BA34" s="79"/>
      <c r="BB34" s="100" t="s">
        <v>29</v>
      </c>
      <c r="BC34" s="80"/>
      <c r="BD34" s="80">
        <f t="shared" si="11"/>
        <v>16</v>
      </c>
      <c r="BE34" s="80">
        <f t="shared" si="12"/>
        <v>16</v>
      </c>
      <c r="BF34" s="101">
        <f t="shared" si="13"/>
        <v>16</v>
      </c>
      <c r="BJ34" s="102" t="str">
        <f t="shared" si="7"/>
        <v>{Scr3Col1Row27, "Scr3 Col1 Row 27", 27, 1, 0, 2, 27, 19,"C"},</v>
      </c>
      <c r="BK34" s="80" t="str">
        <f t="shared" si="14"/>
        <v>{Scr3Col2Row27, "Scr3 Col2 Row 27", 27, 28, 27, 2, 27, 46,"W"},</v>
      </c>
      <c r="BL34" s="80" t="str">
        <f t="shared" si="15"/>
        <v>{Scr3Col3Row27, "Scr3 Col3 Row 27", 27, 55, 51, 2, 27, 73,"W"},</v>
      </c>
      <c r="BM34" s="103"/>
    </row>
    <row r="35" spans="1:65" x14ac:dyDescent="0.25">
      <c r="A35" s="84">
        <v>28</v>
      </c>
      <c r="B35" s="96" t="str">
        <f t="shared" si="10"/>
        <v>Scr3Col1Row28</v>
      </c>
      <c r="C35" s="165" t="s">
        <v>456</v>
      </c>
      <c r="D35" s="165"/>
      <c r="E35" s="165"/>
      <c r="F35" s="165"/>
      <c r="G35" s="165"/>
      <c r="H35" s="165"/>
      <c r="I35" s="79"/>
      <c r="J35" s="201">
        <v>4</v>
      </c>
      <c r="K35" s="201"/>
      <c r="L35" s="201"/>
      <c r="M35" s="201"/>
      <c r="N35" s="79"/>
      <c r="O35" s="97">
        <v>2</v>
      </c>
      <c r="P35" s="151"/>
      <c r="Q35" s="79"/>
      <c r="R35" s="100" t="s">
        <v>8</v>
      </c>
      <c r="S35" s="79"/>
      <c r="T35" s="100" t="str">
        <f t="shared" si="0"/>
        <v>Scr3Col2Row28</v>
      </c>
      <c r="U35" s="194" t="s">
        <v>504</v>
      </c>
      <c r="V35" s="194"/>
      <c r="W35" s="194"/>
      <c r="X35" s="194"/>
      <c r="Y35" s="194"/>
      <c r="Z35" s="194"/>
      <c r="AA35" s="79"/>
      <c r="AB35" s="201">
        <v>28</v>
      </c>
      <c r="AC35" s="201"/>
      <c r="AD35" s="201"/>
      <c r="AE35" s="201"/>
      <c r="AF35" s="79"/>
      <c r="AG35" s="97">
        <v>0</v>
      </c>
      <c r="AH35" s="151"/>
      <c r="AI35" s="79"/>
      <c r="AJ35" s="100" t="s">
        <v>14</v>
      </c>
      <c r="AK35" s="79"/>
      <c r="AL35" s="100" t="str">
        <f t="shared" si="5"/>
        <v>Scr3Col3Row28</v>
      </c>
      <c r="AM35" s="195" t="s">
        <v>552</v>
      </c>
      <c r="AN35" s="195"/>
      <c r="AO35" s="195"/>
      <c r="AP35" s="195"/>
      <c r="AQ35" s="195"/>
      <c r="AR35" s="195"/>
      <c r="AS35" s="79"/>
      <c r="AT35" s="201">
        <v>52</v>
      </c>
      <c r="AU35" s="201"/>
      <c r="AV35" s="201"/>
      <c r="AW35" s="201"/>
      <c r="AX35" s="79"/>
      <c r="AY35" s="97">
        <v>0</v>
      </c>
      <c r="AZ35" s="151"/>
      <c r="BA35" s="79"/>
      <c r="BB35" s="100" t="s">
        <v>14</v>
      </c>
      <c r="BC35" s="80"/>
      <c r="BD35" s="80">
        <f t="shared" si="11"/>
        <v>16</v>
      </c>
      <c r="BE35" s="80">
        <f t="shared" si="12"/>
        <v>16</v>
      </c>
      <c r="BF35" s="101">
        <f t="shared" si="13"/>
        <v>16</v>
      </c>
      <c r="BJ35" s="102" t="str">
        <f t="shared" si="7"/>
        <v>{Scr3Col1Row28, "Scr3 Col1 Row 28", 28, 1, 0, 2, 28, 19,"C"},</v>
      </c>
      <c r="BK35" s="80" t="str">
        <f t="shared" si="14"/>
        <v>{Scr3Col2Row28, "Scr3 Col2 Row 28", 28, 28, 28, 0, 28, 46,"V"},</v>
      </c>
      <c r="BL35" s="80" t="str">
        <f t="shared" si="15"/>
        <v>{Scr3Col3Row28, "Scr3 Col3 Row 28", 28, 55, 52, 0, 28, 73,"V"},</v>
      </c>
      <c r="BM35" s="103"/>
    </row>
    <row r="36" spans="1:65" x14ac:dyDescent="0.25">
      <c r="A36" s="84">
        <v>29</v>
      </c>
      <c r="B36" s="96" t="str">
        <f t="shared" si="10"/>
        <v>Scr3Col1Row29</v>
      </c>
      <c r="C36" s="165" t="s">
        <v>457</v>
      </c>
      <c r="D36" s="165"/>
      <c r="E36" s="165"/>
      <c r="F36" s="165"/>
      <c r="G36" s="165"/>
      <c r="H36" s="165"/>
      <c r="I36" s="79"/>
      <c r="J36" s="201">
        <v>5</v>
      </c>
      <c r="K36" s="201"/>
      <c r="L36" s="201"/>
      <c r="M36" s="201"/>
      <c r="N36" s="79"/>
      <c r="O36" s="97">
        <v>2</v>
      </c>
      <c r="P36" s="151"/>
      <c r="Q36" s="79"/>
      <c r="R36" s="100" t="s">
        <v>8</v>
      </c>
      <c r="S36" s="79"/>
      <c r="T36" s="100" t="str">
        <f t="shared" si="0"/>
        <v>Scr3Col2Row29</v>
      </c>
      <c r="U36" s="194" t="s">
        <v>505</v>
      </c>
      <c r="V36" s="194"/>
      <c r="W36" s="194"/>
      <c r="X36" s="194"/>
      <c r="Y36" s="194"/>
      <c r="Z36" s="194"/>
      <c r="AA36" s="79"/>
      <c r="AB36" s="201">
        <v>29</v>
      </c>
      <c r="AC36" s="201"/>
      <c r="AD36" s="201"/>
      <c r="AE36" s="201"/>
      <c r="AF36" s="79"/>
      <c r="AG36" s="97">
        <v>0</v>
      </c>
      <c r="AH36" s="151"/>
      <c r="AI36" s="79"/>
      <c r="AJ36" s="100" t="s">
        <v>0</v>
      </c>
      <c r="AK36" s="79"/>
      <c r="AL36" s="100" t="str">
        <f t="shared" si="5"/>
        <v>Scr3Col3Row29</v>
      </c>
      <c r="AM36" s="195" t="s">
        <v>553</v>
      </c>
      <c r="AN36" s="195"/>
      <c r="AO36" s="195"/>
      <c r="AP36" s="195"/>
      <c r="AQ36" s="195"/>
      <c r="AR36" s="195"/>
      <c r="AS36" s="79"/>
      <c r="AT36" s="201">
        <v>53</v>
      </c>
      <c r="AU36" s="201"/>
      <c r="AV36" s="201"/>
      <c r="AW36" s="201"/>
      <c r="AX36" s="79"/>
      <c r="AY36" s="97">
        <v>0</v>
      </c>
      <c r="AZ36" s="151"/>
      <c r="BA36" s="79"/>
      <c r="BB36" s="100" t="s">
        <v>0</v>
      </c>
      <c r="BC36" s="80"/>
      <c r="BD36" s="80">
        <f t="shared" si="11"/>
        <v>16</v>
      </c>
      <c r="BE36" s="80">
        <f t="shared" si="12"/>
        <v>16</v>
      </c>
      <c r="BF36" s="101">
        <f t="shared" si="13"/>
        <v>16</v>
      </c>
      <c r="BJ36" s="102" t="str">
        <f t="shared" si="7"/>
        <v>{Scr3Col1Row29, "Scr3 Col1 Row 29", 29, 1, 0, 2, 29, 19,"C"},</v>
      </c>
      <c r="BK36" s="80" t="str">
        <f t="shared" si="14"/>
        <v>{Scr3Col2Row29, "Scr3 Col2 Row 29", 29, 28, 29, 0, 29, 46,"A"},</v>
      </c>
      <c r="BL36" s="80" t="str">
        <f t="shared" si="15"/>
        <v>{Scr3Col3Row29, "Scr3 Col3 Row 29", 29, 55, 53, 0, 29, 73,"A"},</v>
      </c>
      <c r="BM36" s="103"/>
    </row>
    <row r="37" spans="1:65" x14ac:dyDescent="0.25">
      <c r="A37" s="84">
        <v>30</v>
      </c>
      <c r="B37" s="96" t="str">
        <f t="shared" si="10"/>
        <v>Scr3Col1Row30</v>
      </c>
      <c r="C37" s="165" t="s">
        <v>458</v>
      </c>
      <c r="D37" s="165"/>
      <c r="E37" s="165"/>
      <c r="F37" s="165"/>
      <c r="G37" s="165"/>
      <c r="H37" s="165"/>
      <c r="I37" s="79"/>
      <c r="J37" s="201">
        <v>6</v>
      </c>
      <c r="K37" s="201"/>
      <c r="L37" s="201"/>
      <c r="M37" s="201"/>
      <c r="N37" s="79"/>
      <c r="O37" s="97">
        <v>2</v>
      </c>
      <c r="P37" s="151"/>
      <c r="Q37" s="79"/>
      <c r="R37" s="100" t="s">
        <v>8</v>
      </c>
      <c r="S37" s="79"/>
      <c r="T37" s="100" t="str">
        <f t="shared" si="0"/>
        <v>Scr3Col2Row30</v>
      </c>
      <c r="U37" s="194" t="s">
        <v>506</v>
      </c>
      <c r="V37" s="194"/>
      <c r="W37" s="194"/>
      <c r="X37" s="194"/>
      <c r="Y37" s="194"/>
      <c r="Z37" s="194"/>
      <c r="AA37" s="79"/>
      <c r="AB37" s="201">
        <v>30</v>
      </c>
      <c r="AC37" s="201"/>
      <c r="AD37" s="201"/>
      <c r="AE37" s="201"/>
      <c r="AF37" s="79"/>
      <c r="AG37" s="97">
        <v>2</v>
      </c>
      <c r="AH37" s="151"/>
      <c r="AI37" s="79"/>
      <c r="AJ37" s="100" t="s">
        <v>29</v>
      </c>
      <c r="AK37" s="79"/>
      <c r="AL37" s="100" t="str">
        <f t="shared" si="5"/>
        <v>Scr3Col3Row30</v>
      </c>
      <c r="AM37" s="195" t="s">
        <v>554</v>
      </c>
      <c r="AN37" s="195"/>
      <c r="AO37" s="195"/>
      <c r="AP37" s="195"/>
      <c r="AQ37" s="195"/>
      <c r="AR37" s="195"/>
      <c r="AS37" s="79"/>
      <c r="AT37" s="201">
        <v>54</v>
      </c>
      <c r="AU37" s="201"/>
      <c r="AV37" s="201"/>
      <c r="AW37" s="201"/>
      <c r="AX37" s="79"/>
      <c r="AY37" s="97">
        <v>2</v>
      </c>
      <c r="AZ37" s="151"/>
      <c r="BA37" s="79"/>
      <c r="BB37" s="100" t="s">
        <v>29</v>
      </c>
      <c r="BC37" s="80"/>
      <c r="BD37" s="80">
        <f t="shared" si="11"/>
        <v>16</v>
      </c>
      <c r="BE37" s="80">
        <f t="shared" si="12"/>
        <v>16</v>
      </c>
      <c r="BF37" s="101">
        <f t="shared" si="13"/>
        <v>16</v>
      </c>
      <c r="BJ37" s="102" t="str">
        <f t="shared" si="7"/>
        <v>{Scr3Col1Row30, "Scr3 Col1 Row 30", 30, 1, 0, 2, 30, 19,"C"},</v>
      </c>
      <c r="BK37" s="80" t="str">
        <f t="shared" si="14"/>
        <v>{Scr3Col2Row30, "Scr3 Col2 Row 30", 30, 28, 30, 2, 30, 46,"W"},</v>
      </c>
      <c r="BL37" s="80" t="str">
        <f t="shared" si="15"/>
        <v>{Scr3Col3Row30, "Scr3 Col3 Row 30", 30, 55, 54, 2, 30, 73,"W"},</v>
      </c>
      <c r="BM37" s="103"/>
    </row>
    <row r="38" spans="1:65" x14ac:dyDescent="0.25">
      <c r="A38" s="84">
        <v>31</v>
      </c>
      <c r="B38" s="96" t="str">
        <f t="shared" si="10"/>
        <v>Scr3Col1Row31</v>
      </c>
      <c r="C38" s="165" t="s">
        <v>459</v>
      </c>
      <c r="D38" s="165"/>
      <c r="E38" s="165"/>
      <c r="F38" s="165"/>
      <c r="G38" s="165"/>
      <c r="H38" s="165"/>
      <c r="I38" s="79"/>
      <c r="J38" s="201">
        <v>7</v>
      </c>
      <c r="K38" s="201"/>
      <c r="L38" s="201"/>
      <c r="M38" s="201"/>
      <c r="N38" s="79"/>
      <c r="O38" s="97">
        <v>2</v>
      </c>
      <c r="P38" s="151"/>
      <c r="Q38" s="79"/>
      <c r="R38" s="100" t="s">
        <v>8</v>
      </c>
      <c r="S38" s="79"/>
      <c r="T38" s="100" t="str">
        <f t="shared" si="0"/>
        <v>Scr3Col2Row31</v>
      </c>
      <c r="U38" s="194" t="s">
        <v>507</v>
      </c>
      <c r="V38" s="194"/>
      <c r="W38" s="194"/>
      <c r="X38" s="194"/>
      <c r="Y38" s="194"/>
      <c r="Z38" s="194"/>
      <c r="AA38" s="79"/>
      <c r="AB38" s="201">
        <v>31</v>
      </c>
      <c r="AC38" s="201"/>
      <c r="AD38" s="201"/>
      <c r="AE38" s="201"/>
      <c r="AF38" s="79"/>
      <c r="AG38" s="97">
        <v>2</v>
      </c>
      <c r="AH38" s="151"/>
      <c r="AI38" s="79"/>
      <c r="AJ38" s="100" t="s">
        <v>8</v>
      </c>
      <c r="AK38" s="79"/>
      <c r="AL38" s="100" t="str">
        <f t="shared" si="5"/>
        <v>Scr3Col3Row31</v>
      </c>
      <c r="AM38" s="195" t="s">
        <v>555</v>
      </c>
      <c r="AN38" s="195"/>
      <c r="AO38" s="195"/>
      <c r="AP38" s="195"/>
      <c r="AQ38" s="195"/>
      <c r="AR38" s="195"/>
      <c r="AS38" s="79"/>
      <c r="AT38" s="201">
        <v>55</v>
      </c>
      <c r="AU38" s="201"/>
      <c r="AV38" s="201"/>
      <c r="AW38" s="201"/>
      <c r="AX38" s="79"/>
      <c r="AY38" s="97">
        <v>2</v>
      </c>
      <c r="AZ38" s="151"/>
      <c r="BA38" s="79"/>
      <c r="BB38" s="100" t="s">
        <v>8</v>
      </c>
      <c r="BC38" s="80"/>
      <c r="BD38" s="80">
        <f t="shared" si="11"/>
        <v>16</v>
      </c>
      <c r="BE38" s="80">
        <f t="shared" si="12"/>
        <v>16</v>
      </c>
      <c r="BF38" s="101">
        <f t="shared" si="13"/>
        <v>16</v>
      </c>
      <c r="BJ38" s="102" t="str">
        <f t="shared" si="7"/>
        <v>{Scr3Col1Row31, "Scr3 Col1 Row 31", 31, 1, 0, 2, 31, 19,"C"},</v>
      </c>
      <c r="BK38" s="80" t="str">
        <f t="shared" si="14"/>
        <v>{Scr3Col2Row31, "Scr3 Col2 Row 31", 31, 28, 31, 2, 31, 46,"C"},</v>
      </c>
      <c r="BL38" s="80" t="str">
        <f t="shared" si="15"/>
        <v>{Scr3Col3Row31, "Scr3 Col3 Row 31", 31, 55, 55, 2, 31, 73,"C"},</v>
      </c>
      <c r="BM38" s="103"/>
    </row>
    <row r="39" spans="1:65" ht="15.75" thickBot="1" x14ac:dyDescent="0.3">
      <c r="A39" s="84">
        <v>32</v>
      </c>
      <c r="B39" s="104" t="str">
        <f t="shared" si="10"/>
        <v>Scr3Col1Row32</v>
      </c>
      <c r="C39" s="169" t="s">
        <v>460</v>
      </c>
      <c r="D39" s="169"/>
      <c r="E39" s="169"/>
      <c r="F39" s="169"/>
      <c r="G39" s="169"/>
      <c r="H39" s="169"/>
      <c r="I39" s="105"/>
      <c r="J39" s="203">
        <v>8</v>
      </c>
      <c r="K39" s="203"/>
      <c r="L39" s="203"/>
      <c r="M39" s="203"/>
      <c r="N39" s="105"/>
      <c r="O39" s="106">
        <v>2</v>
      </c>
      <c r="P39" s="107"/>
      <c r="Q39" s="105"/>
      <c r="R39" s="109" t="s">
        <v>8</v>
      </c>
      <c r="S39" s="105"/>
      <c r="T39" s="100" t="str">
        <f t="shared" si="0"/>
        <v>Scr3Col2Row32</v>
      </c>
      <c r="U39" s="199" t="s">
        <v>508</v>
      </c>
      <c r="V39" s="199"/>
      <c r="W39" s="199"/>
      <c r="X39" s="199"/>
      <c r="Y39" s="199"/>
      <c r="Z39" s="199"/>
      <c r="AA39" s="105"/>
      <c r="AB39" s="203">
        <v>32</v>
      </c>
      <c r="AC39" s="203"/>
      <c r="AD39" s="203"/>
      <c r="AE39" s="203"/>
      <c r="AF39" s="105"/>
      <c r="AG39" s="106">
        <v>2</v>
      </c>
      <c r="AH39" s="107"/>
      <c r="AI39" s="105"/>
      <c r="AJ39" s="109" t="s">
        <v>8</v>
      </c>
      <c r="AK39" s="105"/>
      <c r="AL39" s="109" t="str">
        <f t="shared" si="5"/>
        <v>Scr3Col3Row32</v>
      </c>
      <c r="AM39" s="200" t="s">
        <v>556</v>
      </c>
      <c r="AN39" s="200"/>
      <c r="AO39" s="200"/>
      <c r="AP39" s="200"/>
      <c r="AQ39" s="200"/>
      <c r="AR39" s="200"/>
      <c r="AS39" s="105"/>
      <c r="AT39" s="203">
        <v>56</v>
      </c>
      <c r="AU39" s="203"/>
      <c r="AV39" s="203"/>
      <c r="AW39" s="203"/>
      <c r="AX39" s="105"/>
      <c r="AY39" s="106">
        <v>2</v>
      </c>
      <c r="AZ39" s="107"/>
      <c r="BA39" s="105"/>
      <c r="BB39" s="109" t="s">
        <v>8</v>
      </c>
      <c r="BC39" s="110"/>
      <c r="BD39" s="110">
        <f t="shared" si="11"/>
        <v>16</v>
      </c>
      <c r="BE39" s="110">
        <f t="shared" si="12"/>
        <v>16</v>
      </c>
      <c r="BF39" s="111">
        <f t="shared" si="13"/>
        <v>16</v>
      </c>
      <c r="BJ39" s="102" t="str">
        <f t="shared" si="7"/>
        <v>{Scr3Col1Row32, "Scr3 Col1 Row 32", 32, 1, 0, 2, 32, 19,"C"},</v>
      </c>
      <c r="BK39" s="80" t="str">
        <f t="shared" si="14"/>
        <v>{Scr3Col2Row32, "Scr3 Col2 Row 32", 32, 28, 32, 2, 32, 46,"C"},</v>
      </c>
      <c r="BL39" s="80" t="str">
        <f t="shared" si="15"/>
        <v>{Scr3Col3Row32, "Scr3 Col3 Row 32", 32, 55, 56, 2, 32, 73,"C"},</v>
      </c>
      <c r="BM39" s="103"/>
    </row>
    <row r="40" spans="1:65" x14ac:dyDescent="0.25">
      <c r="A40" s="84">
        <v>33</v>
      </c>
      <c r="B40" s="86" t="str">
        <f t="shared" si="10"/>
        <v>Scr3Col1Row33</v>
      </c>
      <c r="C40" s="161" t="s">
        <v>461</v>
      </c>
      <c r="D40" s="161"/>
      <c r="E40" s="161"/>
      <c r="F40" s="161"/>
      <c r="G40" s="161"/>
      <c r="H40" s="161"/>
      <c r="I40" s="87"/>
      <c r="J40" s="202">
        <v>9</v>
      </c>
      <c r="K40" s="202"/>
      <c r="L40" s="202"/>
      <c r="M40" s="202"/>
      <c r="N40" s="87"/>
      <c r="O40" s="88">
        <v>2</v>
      </c>
      <c r="P40" s="89"/>
      <c r="Q40" s="87"/>
      <c r="R40" s="91" t="s">
        <v>8</v>
      </c>
      <c r="S40" s="87"/>
      <c r="T40" s="91" t="str">
        <f t="shared" si="0"/>
        <v>Scr3Col2Row33</v>
      </c>
      <c r="U40" s="189" t="s">
        <v>509</v>
      </c>
      <c r="V40" s="189"/>
      <c r="W40" s="189"/>
      <c r="X40" s="189"/>
      <c r="Y40" s="189"/>
      <c r="Z40" s="189"/>
      <c r="AA40" s="87"/>
      <c r="AB40" s="202">
        <v>33</v>
      </c>
      <c r="AC40" s="202"/>
      <c r="AD40" s="202"/>
      <c r="AE40" s="202"/>
      <c r="AF40" s="87"/>
      <c r="AG40" s="88">
        <v>2</v>
      </c>
      <c r="AH40" s="89"/>
      <c r="AI40" s="87"/>
      <c r="AJ40" s="91" t="s">
        <v>8</v>
      </c>
      <c r="AK40" s="87"/>
      <c r="AL40" s="91" t="str">
        <f t="shared" si="5"/>
        <v>Scr3Col3Row33</v>
      </c>
      <c r="AM40" s="190" t="s">
        <v>557</v>
      </c>
      <c r="AN40" s="190"/>
      <c r="AO40" s="190"/>
      <c r="AP40" s="190"/>
      <c r="AQ40" s="190"/>
      <c r="AR40" s="190"/>
      <c r="AS40" s="87"/>
      <c r="AT40" s="202">
        <v>57</v>
      </c>
      <c r="AU40" s="202"/>
      <c r="AV40" s="202"/>
      <c r="AW40" s="202"/>
      <c r="AX40" s="87"/>
      <c r="AY40" s="88">
        <v>2</v>
      </c>
      <c r="AZ40" s="89"/>
      <c r="BA40" s="87"/>
      <c r="BB40" s="91" t="s">
        <v>8</v>
      </c>
      <c r="BC40" s="92"/>
      <c r="BD40" s="92">
        <f t="shared" si="11"/>
        <v>16</v>
      </c>
      <c r="BE40" s="92">
        <f t="shared" si="12"/>
        <v>16</v>
      </c>
      <c r="BF40" s="93">
        <f t="shared" si="13"/>
        <v>16</v>
      </c>
      <c r="BJ40" s="102" t="str">
        <f t="shared" si="7"/>
        <v>{Scr3Col1Row33, "Scr3 Col1 Row 33", 33, 1, 0, 2, 33, 19,"C"},</v>
      </c>
      <c r="BK40" s="80" t="str">
        <f t="shared" si="14"/>
        <v>{Scr3Col2Row33, "Scr3 Col2 Row 33", 33, 28, 33, 2, 33, 46,"C"},</v>
      </c>
      <c r="BL40" s="80" t="str">
        <f t="shared" si="15"/>
        <v>{Scr3Col3Row33, "Scr3 Col3 Row 33", 33, 55, 57, 2, 33, 73,"C"},</v>
      </c>
      <c r="BM40" s="103"/>
    </row>
    <row r="41" spans="1:65" x14ac:dyDescent="0.25">
      <c r="A41" s="84">
        <v>34</v>
      </c>
      <c r="B41" s="96" t="str">
        <f t="shared" si="10"/>
        <v>Scr3Col1Row34</v>
      </c>
      <c r="C41" s="165" t="s">
        <v>462</v>
      </c>
      <c r="D41" s="165"/>
      <c r="E41" s="165"/>
      <c r="F41" s="165"/>
      <c r="G41" s="165"/>
      <c r="H41" s="165"/>
      <c r="I41" s="79"/>
      <c r="J41" s="201">
        <v>10</v>
      </c>
      <c r="K41" s="201"/>
      <c r="L41" s="201"/>
      <c r="M41" s="201"/>
      <c r="N41" s="79"/>
      <c r="O41" s="97">
        <v>2</v>
      </c>
      <c r="P41" s="151"/>
      <c r="Q41" s="79"/>
      <c r="R41" s="100" t="s">
        <v>8</v>
      </c>
      <c r="S41" s="79"/>
      <c r="T41" s="100" t="str">
        <f t="shared" si="0"/>
        <v>Scr3Col2Row34</v>
      </c>
      <c r="U41" s="194" t="s">
        <v>510</v>
      </c>
      <c r="V41" s="194"/>
      <c r="W41" s="194"/>
      <c r="X41" s="194"/>
      <c r="Y41" s="194"/>
      <c r="Z41" s="194"/>
      <c r="AA41" s="79"/>
      <c r="AB41" s="201">
        <v>34</v>
      </c>
      <c r="AC41" s="201"/>
      <c r="AD41" s="201"/>
      <c r="AE41" s="201"/>
      <c r="AF41" s="79"/>
      <c r="AG41" s="97">
        <v>3</v>
      </c>
      <c r="AH41" s="151"/>
      <c r="AI41" s="79"/>
      <c r="AJ41" s="100" t="s">
        <v>15</v>
      </c>
      <c r="AK41" s="79"/>
      <c r="AL41" s="100" t="str">
        <f t="shared" si="5"/>
        <v>Scr3Col3Row34</v>
      </c>
      <c r="AM41" s="195" t="s">
        <v>558</v>
      </c>
      <c r="AN41" s="195"/>
      <c r="AO41" s="195"/>
      <c r="AP41" s="195"/>
      <c r="AQ41" s="195"/>
      <c r="AR41" s="195"/>
      <c r="AS41" s="79"/>
      <c r="AT41" s="201">
        <v>58</v>
      </c>
      <c r="AU41" s="201"/>
      <c r="AV41" s="201"/>
      <c r="AW41" s="201"/>
      <c r="AX41" s="79"/>
      <c r="AY41" s="97">
        <v>3</v>
      </c>
      <c r="AZ41" s="151"/>
      <c r="BA41" s="79"/>
      <c r="BB41" s="100" t="s">
        <v>15</v>
      </c>
      <c r="BC41" s="80"/>
      <c r="BD41" s="80">
        <f t="shared" si="11"/>
        <v>16</v>
      </c>
      <c r="BE41" s="80">
        <f t="shared" si="12"/>
        <v>16</v>
      </c>
      <c r="BF41" s="101">
        <f t="shared" si="13"/>
        <v>16</v>
      </c>
      <c r="BJ41" s="102" t="str">
        <f t="shared" si="7"/>
        <v>{Scr3Col1Row34, "Scr3 Col1 Row 34", 34, 1, 0, 2, 34, 19,"C"},</v>
      </c>
      <c r="BK41" s="80" t="str">
        <f t="shared" si="14"/>
        <v>{Scr3Col2Row34, "Scr3 Col2 Row 34", 34, 28, 34, 3, 34, 46,"R"},</v>
      </c>
      <c r="BL41" s="80" t="str">
        <f t="shared" si="15"/>
        <v>{Scr3Col3Row34, "Scr3 Col3 Row 34", 34, 55, 58, 3, 34, 73,"R"},</v>
      </c>
      <c r="BM41" s="103"/>
    </row>
    <row r="42" spans="1:65" x14ac:dyDescent="0.25">
      <c r="A42" s="84">
        <v>35</v>
      </c>
      <c r="B42" s="96" t="str">
        <f t="shared" si="10"/>
        <v>Scr3Col1Row35</v>
      </c>
      <c r="C42" s="165" t="s">
        <v>463</v>
      </c>
      <c r="D42" s="165"/>
      <c r="E42" s="165"/>
      <c r="F42" s="165"/>
      <c r="G42" s="165"/>
      <c r="H42" s="165"/>
      <c r="I42" s="79"/>
      <c r="J42" s="201">
        <v>11</v>
      </c>
      <c r="K42" s="201"/>
      <c r="L42" s="201"/>
      <c r="M42" s="201"/>
      <c r="N42" s="79"/>
      <c r="O42" s="97">
        <v>2</v>
      </c>
      <c r="P42" s="151"/>
      <c r="Q42" s="79"/>
      <c r="R42" s="100" t="s">
        <v>8</v>
      </c>
      <c r="S42" s="79"/>
      <c r="T42" s="100" t="str">
        <f t="shared" si="0"/>
        <v>Scr3Col2Row35</v>
      </c>
      <c r="U42" s="194" t="s">
        <v>511</v>
      </c>
      <c r="V42" s="194"/>
      <c r="W42" s="194"/>
      <c r="X42" s="194"/>
      <c r="Y42" s="194"/>
      <c r="Z42" s="194"/>
      <c r="AA42" s="79"/>
      <c r="AB42" s="201">
        <v>35</v>
      </c>
      <c r="AC42" s="201"/>
      <c r="AD42" s="201"/>
      <c r="AE42" s="201"/>
      <c r="AF42" s="79"/>
      <c r="AG42" s="97">
        <v>0</v>
      </c>
      <c r="AH42" s="151"/>
      <c r="AI42" s="79"/>
      <c r="AJ42" s="100" t="s">
        <v>189</v>
      </c>
      <c r="AK42" s="79"/>
      <c r="AL42" s="100" t="str">
        <f t="shared" si="5"/>
        <v>Scr3Col3Row35</v>
      </c>
      <c r="AM42" s="195" t="s">
        <v>559</v>
      </c>
      <c r="AN42" s="195"/>
      <c r="AO42" s="195"/>
      <c r="AP42" s="195"/>
      <c r="AQ42" s="195"/>
      <c r="AR42" s="195"/>
      <c r="AS42" s="79"/>
      <c r="AT42" s="201">
        <v>59</v>
      </c>
      <c r="AU42" s="201"/>
      <c r="AV42" s="201"/>
      <c r="AW42" s="201"/>
      <c r="AX42" s="79"/>
      <c r="AY42" s="97">
        <v>0</v>
      </c>
      <c r="AZ42" s="151"/>
      <c r="BA42" s="79"/>
      <c r="BB42" s="100" t="s">
        <v>189</v>
      </c>
      <c r="BC42" s="80"/>
      <c r="BD42" s="80">
        <f t="shared" si="11"/>
        <v>16</v>
      </c>
      <c r="BE42" s="80">
        <f t="shared" si="12"/>
        <v>16</v>
      </c>
      <c r="BF42" s="101">
        <f t="shared" si="13"/>
        <v>16</v>
      </c>
      <c r="BJ42" s="102" t="str">
        <f t="shared" si="7"/>
        <v>{Scr3Col1Row35, "Scr3 Col1 Row 35", 35, 1, 0, 2, 35, 19,"C"},</v>
      </c>
      <c r="BK42" s="80" t="str">
        <f t="shared" si="14"/>
        <v>{Scr3Col2Row35, "Scr3 Col2 Row 35", 35, 28, 35, 0, 35, 46,"%"},</v>
      </c>
      <c r="BL42" s="80" t="str">
        <f t="shared" si="15"/>
        <v>{Scr3Col3Row35, "Scr3 Col3 Row 35", 35, 55, 59, 0, 35, 73,"%"},</v>
      </c>
      <c r="BM42" s="103"/>
    </row>
    <row r="43" spans="1:65" x14ac:dyDescent="0.25">
      <c r="A43" s="84">
        <v>36</v>
      </c>
      <c r="B43" s="96" t="str">
        <f t="shared" si="10"/>
        <v>Scr3Col1Row36</v>
      </c>
      <c r="C43" s="165" t="s">
        <v>464</v>
      </c>
      <c r="D43" s="165"/>
      <c r="E43" s="165"/>
      <c r="F43" s="165"/>
      <c r="G43" s="165"/>
      <c r="H43" s="165"/>
      <c r="I43" s="79"/>
      <c r="J43" s="201">
        <v>12</v>
      </c>
      <c r="K43" s="201"/>
      <c r="L43" s="201"/>
      <c r="M43" s="201"/>
      <c r="N43" s="79"/>
      <c r="O43" s="97">
        <v>2</v>
      </c>
      <c r="P43" s="151"/>
      <c r="Q43" s="79"/>
      <c r="R43" s="100" t="s">
        <v>8</v>
      </c>
      <c r="S43" s="79"/>
      <c r="T43" s="100" t="str">
        <f t="shared" si="0"/>
        <v>Scr3Col2Row36</v>
      </c>
      <c r="U43" s="194" t="s">
        <v>512</v>
      </c>
      <c r="V43" s="194"/>
      <c r="W43" s="194"/>
      <c r="X43" s="194"/>
      <c r="Y43" s="194"/>
      <c r="Z43" s="194"/>
      <c r="AA43" s="79"/>
      <c r="AB43" s="201">
        <v>36</v>
      </c>
      <c r="AC43" s="201"/>
      <c r="AD43" s="201"/>
      <c r="AE43" s="201"/>
      <c r="AF43" s="79"/>
      <c r="AG43" s="97">
        <v>3</v>
      </c>
      <c r="AH43" s="151"/>
      <c r="AI43" s="79"/>
      <c r="AJ43" s="100" t="s">
        <v>15</v>
      </c>
      <c r="AK43" s="79"/>
      <c r="AL43" s="100" t="str">
        <f t="shared" si="5"/>
        <v>Scr3Col3Row36</v>
      </c>
      <c r="AM43" s="195" t="s">
        <v>560</v>
      </c>
      <c r="AN43" s="195"/>
      <c r="AO43" s="195"/>
      <c r="AP43" s="195"/>
      <c r="AQ43" s="195"/>
      <c r="AR43" s="195"/>
      <c r="AS43" s="79"/>
      <c r="AT43" s="201">
        <v>60</v>
      </c>
      <c r="AU43" s="201"/>
      <c r="AV43" s="201"/>
      <c r="AW43" s="201"/>
      <c r="AX43" s="79"/>
      <c r="AY43" s="97">
        <v>3</v>
      </c>
      <c r="AZ43" s="151"/>
      <c r="BA43" s="79"/>
      <c r="BB43" s="100" t="s">
        <v>15</v>
      </c>
      <c r="BC43" s="80"/>
      <c r="BD43" s="80">
        <f t="shared" si="11"/>
        <v>16</v>
      </c>
      <c r="BE43" s="80">
        <f t="shared" si="12"/>
        <v>16</v>
      </c>
      <c r="BF43" s="101">
        <f t="shared" si="13"/>
        <v>16</v>
      </c>
      <c r="BJ43" s="102" t="str">
        <f t="shared" si="7"/>
        <v>{Scr3Col1Row36, "Scr3 Col1 Row 36", 36, 1, 0, 2, 36, 19,"C"},</v>
      </c>
      <c r="BK43" s="80" t="str">
        <f t="shared" si="14"/>
        <v>{Scr3Col2Row36, "Scr3 Col2 Row 36", 36, 28, 36, 3, 36, 46,"R"},</v>
      </c>
      <c r="BL43" s="80" t="str">
        <f t="shared" si="15"/>
        <v>{Scr3Col3Row36, "Scr3 Col3 Row 36", 36, 55, 60, 3, 36, 73,"R"},</v>
      </c>
      <c r="BM43" s="103"/>
    </row>
    <row r="44" spans="1:65" x14ac:dyDescent="0.25">
      <c r="A44" s="84">
        <v>37</v>
      </c>
      <c r="B44" s="96" t="str">
        <f t="shared" si="10"/>
        <v>Scr3Col1Row37</v>
      </c>
      <c r="C44" s="165" t="s">
        <v>465</v>
      </c>
      <c r="D44" s="165"/>
      <c r="E44" s="165"/>
      <c r="F44" s="165"/>
      <c r="G44" s="165"/>
      <c r="H44" s="165"/>
      <c r="I44" s="79"/>
      <c r="J44" s="201">
        <v>13</v>
      </c>
      <c r="K44" s="201"/>
      <c r="L44" s="201"/>
      <c r="M44" s="201"/>
      <c r="N44" s="79"/>
      <c r="O44" s="97">
        <v>2</v>
      </c>
      <c r="P44" s="151"/>
      <c r="Q44" s="79"/>
      <c r="R44" s="100" t="s">
        <v>8</v>
      </c>
      <c r="S44" s="79"/>
      <c r="T44" s="100" t="str">
        <f t="shared" si="0"/>
        <v>Scr3Col2Row37</v>
      </c>
      <c r="U44" s="194" t="s">
        <v>513</v>
      </c>
      <c r="V44" s="194"/>
      <c r="W44" s="194"/>
      <c r="X44" s="194"/>
      <c r="Y44" s="194"/>
      <c r="Z44" s="194"/>
      <c r="AA44" s="79"/>
      <c r="AB44" s="201">
        <v>37</v>
      </c>
      <c r="AC44" s="201"/>
      <c r="AD44" s="201"/>
      <c r="AE44" s="201"/>
      <c r="AF44" s="79"/>
      <c r="AG44" s="97">
        <v>3</v>
      </c>
      <c r="AH44" s="151"/>
      <c r="AI44" s="79"/>
      <c r="AJ44" s="100" t="s">
        <v>15</v>
      </c>
      <c r="AK44" s="79"/>
      <c r="AL44" s="100" t="str">
        <f t="shared" si="5"/>
        <v>Scr3Col3Row37</v>
      </c>
      <c r="AM44" s="195" t="s">
        <v>561</v>
      </c>
      <c r="AN44" s="195"/>
      <c r="AO44" s="195"/>
      <c r="AP44" s="195"/>
      <c r="AQ44" s="195"/>
      <c r="AR44" s="195"/>
      <c r="AS44" s="79"/>
      <c r="AT44" s="201">
        <v>61</v>
      </c>
      <c r="AU44" s="201"/>
      <c r="AV44" s="201"/>
      <c r="AW44" s="201"/>
      <c r="AX44" s="79"/>
      <c r="AY44" s="97">
        <v>3</v>
      </c>
      <c r="AZ44" s="151"/>
      <c r="BA44" s="79"/>
      <c r="BB44" s="100" t="s">
        <v>15</v>
      </c>
      <c r="BC44" s="80"/>
      <c r="BD44" s="80">
        <f t="shared" si="11"/>
        <v>16</v>
      </c>
      <c r="BE44" s="80">
        <f t="shared" si="12"/>
        <v>16</v>
      </c>
      <c r="BF44" s="101">
        <f t="shared" si="13"/>
        <v>16</v>
      </c>
      <c r="BJ44" s="102" t="str">
        <f t="shared" si="7"/>
        <v>{Scr3Col1Row37, "Scr3 Col1 Row 37", 37, 1, 0, 2, 37, 19,"C"},</v>
      </c>
      <c r="BK44" s="80" t="str">
        <f t="shared" si="14"/>
        <v>{Scr3Col2Row37, "Scr3 Col2 Row 37", 37, 28, 37, 3, 37, 46,"R"},</v>
      </c>
      <c r="BL44" s="80" t="str">
        <f t="shared" si="15"/>
        <v>{Scr3Col3Row37, "Scr3 Col3 Row 37", 37, 55, 61, 3, 37, 73,"R"},</v>
      </c>
      <c r="BM44" s="103"/>
    </row>
    <row r="45" spans="1:65" x14ac:dyDescent="0.25">
      <c r="A45" s="84">
        <v>38</v>
      </c>
      <c r="B45" s="96" t="str">
        <f t="shared" si="10"/>
        <v>Scr3Col1Row38</v>
      </c>
      <c r="C45" s="165" t="s">
        <v>466</v>
      </c>
      <c r="D45" s="165"/>
      <c r="E45" s="165"/>
      <c r="F45" s="165"/>
      <c r="G45" s="165"/>
      <c r="H45" s="165"/>
      <c r="I45" s="79"/>
      <c r="J45" s="201">
        <v>14</v>
      </c>
      <c r="K45" s="201"/>
      <c r="L45" s="201"/>
      <c r="M45" s="201"/>
      <c r="N45" s="79"/>
      <c r="O45" s="97">
        <v>2</v>
      </c>
      <c r="P45" s="151"/>
      <c r="Q45" s="79"/>
      <c r="R45" s="100" t="s">
        <v>8</v>
      </c>
      <c r="S45" s="79"/>
      <c r="T45" s="100" t="str">
        <f t="shared" si="0"/>
        <v>Scr3Col2Row38</v>
      </c>
      <c r="U45" s="194" t="s">
        <v>514</v>
      </c>
      <c r="V45" s="194"/>
      <c r="W45" s="194"/>
      <c r="X45" s="194"/>
      <c r="Y45" s="194"/>
      <c r="Z45" s="194"/>
      <c r="AA45" s="79"/>
      <c r="AB45" s="201">
        <v>38</v>
      </c>
      <c r="AC45" s="201"/>
      <c r="AD45" s="201"/>
      <c r="AE45" s="201"/>
      <c r="AF45" s="79"/>
      <c r="AG45" s="97">
        <v>3</v>
      </c>
      <c r="AH45" s="151"/>
      <c r="AI45" s="79"/>
      <c r="AJ45" s="100" t="s">
        <v>15</v>
      </c>
      <c r="AK45" s="79"/>
      <c r="AL45" s="100" t="str">
        <f t="shared" si="5"/>
        <v>Scr3Col3Row38</v>
      </c>
      <c r="AM45" s="195" t="s">
        <v>562</v>
      </c>
      <c r="AN45" s="195"/>
      <c r="AO45" s="195"/>
      <c r="AP45" s="195"/>
      <c r="AQ45" s="195"/>
      <c r="AR45" s="195"/>
      <c r="AS45" s="79"/>
      <c r="AT45" s="201">
        <v>62</v>
      </c>
      <c r="AU45" s="201"/>
      <c r="AV45" s="201"/>
      <c r="AW45" s="201"/>
      <c r="AX45" s="79"/>
      <c r="AY45" s="97">
        <v>3</v>
      </c>
      <c r="AZ45" s="151"/>
      <c r="BA45" s="79"/>
      <c r="BB45" s="100" t="s">
        <v>15</v>
      </c>
      <c r="BC45" s="80"/>
      <c r="BD45" s="80">
        <f t="shared" si="11"/>
        <v>16</v>
      </c>
      <c r="BE45" s="80">
        <f t="shared" si="12"/>
        <v>16</v>
      </c>
      <c r="BF45" s="101">
        <f t="shared" si="13"/>
        <v>16</v>
      </c>
      <c r="BJ45" s="102" t="str">
        <f t="shared" si="7"/>
        <v>{Scr3Col1Row38, "Scr3 Col1 Row 38", 38, 1, 0, 2, 38, 19,"C"},</v>
      </c>
      <c r="BK45" s="80" t="str">
        <f t="shared" si="14"/>
        <v>{Scr3Col2Row38, "Scr3 Col2 Row 38", 38, 28, 38, 3, 38, 46,"R"},</v>
      </c>
      <c r="BL45" s="80" t="str">
        <f t="shared" si="15"/>
        <v>{Scr3Col3Row38, "Scr3 Col3 Row 38", 38, 55, 62, 3, 38, 73,"R"},</v>
      </c>
      <c r="BM45" s="103"/>
    </row>
    <row r="46" spans="1:65" x14ac:dyDescent="0.25">
      <c r="A46" s="84">
        <v>39</v>
      </c>
      <c r="B46" s="96" t="str">
        <f t="shared" si="10"/>
        <v>Scr3Col1Row39</v>
      </c>
      <c r="C46" s="165" t="s">
        <v>467</v>
      </c>
      <c r="D46" s="165"/>
      <c r="E46" s="165"/>
      <c r="F46" s="165"/>
      <c r="G46" s="165"/>
      <c r="H46" s="165"/>
      <c r="I46" s="79"/>
      <c r="J46" s="201">
        <v>15</v>
      </c>
      <c r="K46" s="201"/>
      <c r="L46" s="201"/>
      <c r="M46" s="201"/>
      <c r="N46" s="79"/>
      <c r="O46" s="97">
        <v>2</v>
      </c>
      <c r="P46" s="151"/>
      <c r="Q46" s="79"/>
      <c r="R46" s="100" t="s">
        <v>8</v>
      </c>
      <c r="S46" s="79"/>
      <c r="T46" s="100" t="str">
        <f t="shared" si="0"/>
        <v>Scr3Col2Row39</v>
      </c>
      <c r="U46" s="194" t="s">
        <v>515</v>
      </c>
      <c r="V46" s="194"/>
      <c r="W46" s="194"/>
      <c r="X46" s="194"/>
      <c r="Y46" s="194"/>
      <c r="Z46" s="194"/>
      <c r="AA46" s="79"/>
      <c r="AB46" s="201">
        <v>39</v>
      </c>
      <c r="AC46" s="201"/>
      <c r="AD46" s="201"/>
      <c r="AE46" s="201"/>
      <c r="AF46" s="79"/>
      <c r="AG46" s="97">
        <v>3</v>
      </c>
      <c r="AH46" s="151"/>
      <c r="AI46" s="79"/>
      <c r="AJ46" s="100" t="s">
        <v>15</v>
      </c>
      <c r="AK46" s="79"/>
      <c r="AL46" s="100" t="str">
        <f t="shared" si="5"/>
        <v>Scr3Col3Row39</v>
      </c>
      <c r="AM46" s="195" t="s">
        <v>563</v>
      </c>
      <c r="AN46" s="195"/>
      <c r="AO46" s="195"/>
      <c r="AP46" s="195"/>
      <c r="AQ46" s="195"/>
      <c r="AR46" s="195"/>
      <c r="AS46" s="79"/>
      <c r="AT46" s="201">
        <v>63</v>
      </c>
      <c r="AU46" s="201"/>
      <c r="AV46" s="201"/>
      <c r="AW46" s="201"/>
      <c r="AX46" s="79"/>
      <c r="AY46" s="97">
        <v>3</v>
      </c>
      <c r="AZ46" s="151"/>
      <c r="BA46" s="79"/>
      <c r="BB46" s="100" t="s">
        <v>15</v>
      </c>
      <c r="BC46" s="80"/>
      <c r="BD46" s="80">
        <f t="shared" si="11"/>
        <v>16</v>
      </c>
      <c r="BE46" s="80">
        <f t="shared" si="12"/>
        <v>16</v>
      </c>
      <c r="BF46" s="101">
        <f t="shared" si="13"/>
        <v>16</v>
      </c>
      <c r="BJ46" s="102" t="str">
        <f t="shared" si="7"/>
        <v>{Scr3Col1Row39, "Scr3 Col1 Row 39", 39, 1, 0, 2, 39, 19,"C"},</v>
      </c>
      <c r="BK46" s="80" t="str">
        <f t="shared" si="14"/>
        <v>{Scr3Col2Row39, "Scr3 Col2 Row 39", 39, 28, 39, 3, 39, 46,"R"},</v>
      </c>
      <c r="BL46" s="80" t="str">
        <f t="shared" si="15"/>
        <v>{Scr3Col3Row39, "Scr3 Col3 Row 39", 39, 55, 63, 3, 39, 73,"R"},</v>
      </c>
      <c r="BM46" s="103"/>
    </row>
    <row r="47" spans="1:65" ht="15.75" thickBot="1" x14ac:dyDescent="0.3">
      <c r="A47" s="84">
        <v>40</v>
      </c>
      <c r="B47" s="104" t="str">
        <f t="shared" si="10"/>
        <v>Scr3Col1Row40</v>
      </c>
      <c r="C47" s="169" t="s">
        <v>468</v>
      </c>
      <c r="D47" s="169"/>
      <c r="E47" s="169"/>
      <c r="F47" s="169"/>
      <c r="G47" s="169"/>
      <c r="H47" s="169"/>
      <c r="I47" s="105"/>
      <c r="J47" s="203">
        <v>16</v>
      </c>
      <c r="K47" s="203"/>
      <c r="L47" s="203"/>
      <c r="M47" s="203"/>
      <c r="N47" s="105"/>
      <c r="O47" s="106">
        <v>2</v>
      </c>
      <c r="P47" s="107"/>
      <c r="Q47" s="105"/>
      <c r="R47" s="109" t="s">
        <v>8</v>
      </c>
      <c r="S47" s="105"/>
      <c r="T47" s="100" t="str">
        <f t="shared" si="0"/>
        <v>Scr3Col2Row40</v>
      </c>
      <c r="U47" s="199" t="s">
        <v>516</v>
      </c>
      <c r="V47" s="199"/>
      <c r="W47" s="199"/>
      <c r="X47" s="199"/>
      <c r="Y47" s="199"/>
      <c r="Z47" s="199"/>
      <c r="AA47" s="105"/>
      <c r="AB47" s="203">
        <v>40</v>
      </c>
      <c r="AC47" s="203"/>
      <c r="AD47" s="203"/>
      <c r="AE47" s="203"/>
      <c r="AF47" s="105"/>
      <c r="AG47" s="106">
        <v>3</v>
      </c>
      <c r="AH47" s="107"/>
      <c r="AI47" s="105"/>
      <c r="AJ47" s="109" t="s">
        <v>15</v>
      </c>
      <c r="AK47" s="105"/>
      <c r="AL47" s="109" t="str">
        <f t="shared" si="5"/>
        <v>Scr3Col3Row40</v>
      </c>
      <c r="AM47" s="200" t="s">
        <v>564</v>
      </c>
      <c r="AN47" s="200"/>
      <c r="AO47" s="200"/>
      <c r="AP47" s="200"/>
      <c r="AQ47" s="200"/>
      <c r="AR47" s="200"/>
      <c r="AS47" s="105"/>
      <c r="AT47" s="203">
        <v>64</v>
      </c>
      <c r="AU47" s="203"/>
      <c r="AV47" s="203"/>
      <c r="AW47" s="203"/>
      <c r="AX47" s="105"/>
      <c r="AY47" s="106">
        <v>3</v>
      </c>
      <c r="AZ47" s="107"/>
      <c r="BA47" s="105"/>
      <c r="BB47" s="109" t="s">
        <v>15</v>
      </c>
      <c r="BC47" s="110"/>
      <c r="BD47" s="110">
        <f t="shared" si="11"/>
        <v>16</v>
      </c>
      <c r="BE47" s="110">
        <f t="shared" si="12"/>
        <v>16</v>
      </c>
      <c r="BF47" s="111">
        <f t="shared" si="13"/>
        <v>16</v>
      </c>
      <c r="BJ47" s="102" t="str">
        <f t="shared" si="7"/>
        <v>{Scr3Col1Row40, "Scr3 Col1 Row 40", 40, 1, 0, 2, 40, 19,"C"},</v>
      </c>
      <c r="BK47" s="80" t="str">
        <f t="shared" si="14"/>
        <v>{Scr3Col2Row40, "Scr3 Col2 Row 40", 40, 28, 40, 3, 40, 46,"R"},</v>
      </c>
      <c r="BL47" s="80" t="str">
        <f t="shared" si="15"/>
        <v>{Scr3Col3Row40, "Scr3 Col3 Row 40", 40, 55, 64, 3, 40, 73,"R"},</v>
      </c>
      <c r="BM47" s="103"/>
    </row>
    <row r="48" spans="1:65" x14ac:dyDescent="0.25">
      <c r="A48" s="84">
        <v>41</v>
      </c>
      <c r="B48" s="86" t="str">
        <f t="shared" si="10"/>
        <v>Scr3Col1Row41</v>
      </c>
      <c r="C48" s="161" t="s">
        <v>469</v>
      </c>
      <c r="D48" s="161"/>
      <c r="E48" s="161"/>
      <c r="F48" s="161"/>
      <c r="G48" s="161"/>
      <c r="H48" s="161"/>
      <c r="I48" s="87"/>
      <c r="J48" s="202">
        <v>17</v>
      </c>
      <c r="K48" s="202"/>
      <c r="L48" s="202"/>
      <c r="M48" s="202"/>
      <c r="N48" s="87"/>
      <c r="O48" s="88">
        <v>2</v>
      </c>
      <c r="P48" s="89"/>
      <c r="Q48" s="87"/>
      <c r="R48" s="91" t="s">
        <v>8</v>
      </c>
      <c r="S48" s="87"/>
      <c r="T48" s="91" t="str">
        <f t="shared" si="0"/>
        <v>Scr3Col2Row41</v>
      </c>
      <c r="U48" s="189" t="s">
        <v>517</v>
      </c>
      <c r="V48" s="189"/>
      <c r="W48" s="189"/>
      <c r="X48" s="189"/>
      <c r="Y48" s="189"/>
      <c r="Z48" s="189"/>
      <c r="AA48" s="87"/>
      <c r="AB48" s="202">
        <v>41</v>
      </c>
      <c r="AC48" s="202"/>
      <c r="AD48" s="202"/>
      <c r="AE48" s="202"/>
      <c r="AF48" s="87"/>
      <c r="AG48" s="88">
        <v>3</v>
      </c>
      <c r="AH48" s="89"/>
      <c r="AI48" s="87"/>
      <c r="AJ48" s="91" t="s">
        <v>15</v>
      </c>
      <c r="AK48" s="87"/>
      <c r="AL48" s="91" t="str">
        <f t="shared" si="5"/>
        <v>Scr3Col3Row41</v>
      </c>
      <c r="AM48" s="190" t="s">
        <v>565</v>
      </c>
      <c r="AN48" s="190"/>
      <c r="AO48" s="190"/>
      <c r="AP48" s="190"/>
      <c r="AQ48" s="190"/>
      <c r="AR48" s="190"/>
      <c r="AS48" s="87"/>
      <c r="AT48" s="202">
        <v>65</v>
      </c>
      <c r="AU48" s="202"/>
      <c r="AV48" s="202"/>
      <c r="AW48" s="202"/>
      <c r="AX48" s="87"/>
      <c r="AY48" s="88">
        <v>3</v>
      </c>
      <c r="AZ48" s="89"/>
      <c r="BA48" s="87"/>
      <c r="BB48" s="91" t="s">
        <v>15</v>
      </c>
      <c r="BC48" s="92"/>
      <c r="BD48" s="92">
        <f t="shared" si="11"/>
        <v>16</v>
      </c>
      <c r="BE48" s="92">
        <f t="shared" si="12"/>
        <v>16</v>
      </c>
      <c r="BF48" s="93">
        <f t="shared" si="13"/>
        <v>16</v>
      </c>
      <c r="BJ48" s="102" t="str">
        <f t="shared" si="7"/>
        <v>{Scr3Col1Row41, "Scr3 Col1 Row 41", 41, 1, 0, 2, 41, 19,"C"},</v>
      </c>
      <c r="BK48" s="80" t="str">
        <f t="shared" si="14"/>
        <v>{Scr3Col2Row41, "Scr3 Col2 Row 41", 41, 28, 41, 3, 41, 46,"R"},</v>
      </c>
      <c r="BL48" s="80" t="str">
        <f t="shared" si="15"/>
        <v>{Scr3Col3Row41, "Scr3 Col3 Row 41", 41, 55, 65, 3, 41, 73,"R"},</v>
      </c>
      <c r="BM48" s="103"/>
    </row>
    <row r="49" spans="1:65" x14ac:dyDescent="0.25">
      <c r="A49" s="84">
        <v>42</v>
      </c>
      <c r="B49" s="96" t="str">
        <f t="shared" si="10"/>
        <v>Scr3Col1Row42</v>
      </c>
      <c r="C49" s="165" t="s">
        <v>470</v>
      </c>
      <c r="D49" s="165"/>
      <c r="E49" s="165"/>
      <c r="F49" s="165"/>
      <c r="G49" s="165"/>
      <c r="H49" s="165"/>
      <c r="I49" s="79"/>
      <c r="J49" s="201">
        <v>18</v>
      </c>
      <c r="K49" s="201"/>
      <c r="L49" s="201"/>
      <c r="M49" s="201"/>
      <c r="N49" s="79"/>
      <c r="O49" s="97">
        <v>2</v>
      </c>
      <c r="P49" s="151"/>
      <c r="Q49" s="79"/>
      <c r="R49" s="100" t="s">
        <v>8</v>
      </c>
      <c r="S49" s="79"/>
      <c r="T49" s="100" t="str">
        <f t="shared" si="0"/>
        <v>Scr3Col2Row42</v>
      </c>
      <c r="U49" s="194" t="s">
        <v>518</v>
      </c>
      <c r="V49" s="194"/>
      <c r="W49" s="194"/>
      <c r="X49" s="194"/>
      <c r="Y49" s="194"/>
      <c r="Z49" s="194"/>
      <c r="AA49" s="79"/>
      <c r="AB49" s="201">
        <v>42</v>
      </c>
      <c r="AC49" s="201"/>
      <c r="AD49" s="201"/>
      <c r="AE49" s="201"/>
      <c r="AF49" s="79"/>
      <c r="AG49" s="97">
        <v>2</v>
      </c>
      <c r="AH49" s="151"/>
      <c r="AI49" s="79"/>
      <c r="AJ49" s="100" t="s">
        <v>8</v>
      </c>
      <c r="AK49" s="79"/>
      <c r="AL49" s="100" t="str">
        <f t="shared" si="5"/>
        <v>Scr3Col3Row42</v>
      </c>
      <c r="AM49" s="195" t="s">
        <v>566</v>
      </c>
      <c r="AN49" s="195"/>
      <c r="AO49" s="195"/>
      <c r="AP49" s="195"/>
      <c r="AQ49" s="195"/>
      <c r="AR49" s="195"/>
      <c r="AS49" s="79"/>
      <c r="AT49" s="201">
        <v>66</v>
      </c>
      <c r="AU49" s="201"/>
      <c r="AV49" s="201"/>
      <c r="AW49" s="201"/>
      <c r="AX49" s="79"/>
      <c r="AY49" s="97">
        <v>2</v>
      </c>
      <c r="AZ49" s="151"/>
      <c r="BA49" s="79"/>
      <c r="BB49" s="100" t="s">
        <v>8</v>
      </c>
      <c r="BC49" s="80"/>
      <c r="BD49" s="80">
        <f t="shared" si="11"/>
        <v>16</v>
      </c>
      <c r="BE49" s="80">
        <f t="shared" si="12"/>
        <v>16</v>
      </c>
      <c r="BF49" s="101">
        <f t="shared" si="13"/>
        <v>16</v>
      </c>
      <c r="BJ49" s="102" t="str">
        <f t="shared" si="7"/>
        <v>{Scr3Col1Row42, "Scr3 Col1 Row 42", 42, 1, 0, 2, 42, 19,"C"},</v>
      </c>
      <c r="BK49" s="80" t="str">
        <f t="shared" si="14"/>
        <v>{Scr3Col2Row42, "Scr3 Col2 Row 42", 42, 28, 42, 2, 42, 46,"C"},</v>
      </c>
      <c r="BL49" s="80" t="str">
        <f t="shared" si="15"/>
        <v>{Scr3Col3Row42, "Scr3 Col3 Row 42", 42, 55, 66, 2, 42, 73,"C"},</v>
      </c>
      <c r="BM49" s="103"/>
    </row>
    <row r="50" spans="1:65" x14ac:dyDescent="0.25">
      <c r="A50" s="84">
        <v>43</v>
      </c>
      <c r="B50" s="96" t="str">
        <f t="shared" si="10"/>
        <v>Scr3Col1Row43</v>
      </c>
      <c r="C50" s="165" t="s">
        <v>471</v>
      </c>
      <c r="D50" s="165"/>
      <c r="E50" s="165"/>
      <c r="F50" s="165"/>
      <c r="G50" s="165"/>
      <c r="H50" s="165"/>
      <c r="I50" s="79"/>
      <c r="J50" s="201">
        <v>19</v>
      </c>
      <c r="K50" s="201"/>
      <c r="L50" s="201"/>
      <c r="M50" s="201"/>
      <c r="N50" s="79"/>
      <c r="O50" s="97">
        <v>2</v>
      </c>
      <c r="P50" s="151"/>
      <c r="Q50" s="79"/>
      <c r="R50" s="100" t="s">
        <v>8</v>
      </c>
      <c r="S50" s="79"/>
      <c r="T50" s="100" t="str">
        <f t="shared" si="0"/>
        <v>Scr3Col2Row43</v>
      </c>
      <c r="U50" s="194" t="s">
        <v>519</v>
      </c>
      <c r="V50" s="194"/>
      <c r="W50" s="194"/>
      <c r="X50" s="194"/>
      <c r="Y50" s="194"/>
      <c r="Z50" s="194"/>
      <c r="AA50" s="79"/>
      <c r="AB50" s="201">
        <v>43</v>
      </c>
      <c r="AC50" s="201"/>
      <c r="AD50" s="201"/>
      <c r="AE50" s="201"/>
      <c r="AF50" s="79"/>
      <c r="AG50" s="97">
        <v>2</v>
      </c>
      <c r="AH50" s="151"/>
      <c r="AI50" s="79"/>
      <c r="AJ50" s="100" t="s">
        <v>8</v>
      </c>
      <c r="AK50" s="79"/>
      <c r="AL50" s="100" t="str">
        <f t="shared" si="5"/>
        <v>Scr3Col3Row43</v>
      </c>
      <c r="AM50" s="195" t="s">
        <v>567</v>
      </c>
      <c r="AN50" s="195"/>
      <c r="AO50" s="195"/>
      <c r="AP50" s="195"/>
      <c r="AQ50" s="195"/>
      <c r="AR50" s="195"/>
      <c r="AS50" s="79"/>
      <c r="AT50" s="201">
        <v>67</v>
      </c>
      <c r="AU50" s="201"/>
      <c r="AV50" s="201"/>
      <c r="AW50" s="201"/>
      <c r="AX50" s="79"/>
      <c r="AY50" s="97">
        <v>2</v>
      </c>
      <c r="AZ50" s="151"/>
      <c r="BA50" s="79"/>
      <c r="BB50" s="100" t="s">
        <v>8</v>
      </c>
      <c r="BC50" s="80"/>
      <c r="BD50" s="80">
        <f t="shared" si="11"/>
        <v>16</v>
      </c>
      <c r="BE50" s="80">
        <f t="shared" si="12"/>
        <v>16</v>
      </c>
      <c r="BF50" s="101">
        <f t="shared" si="13"/>
        <v>16</v>
      </c>
      <c r="BJ50" s="102" t="str">
        <f t="shared" si="7"/>
        <v>{Scr3Col1Row43, "Scr3 Col1 Row 43", 43, 1, 0, 2, 43, 19,"C"},</v>
      </c>
      <c r="BK50" s="80" t="str">
        <f t="shared" si="14"/>
        <v>{Scr3Col2Row43, "Scr3 Col2 Row 43", 43, 28, 43, 2, 43, 46,"C"},</v>
      </c>
      <c r="BL50" s="80" t="str">
        <f t="shared" si="15"/>
        <v>{Scr3Col3Row43, "Scr3 Col3 Row 43", 43, 55, 67, 2, 43, 73,"C"},</v>
      </c>
      <c r="BM50" s="103"/>
    </row>
    <row r="51" spans="1:65" x14ac:dyDescent="0.25">
      <c r="A51" s="84">
        <v>44</v>
      </c>
      <c r="B51" s="96" t="str">
        <f t="shared" si="10"/>
        <v>Scr3Col1Row44</v>
      </c>
      <c r="C51" s="165" t="s">
        <v>472</v>
      </c>
      <c r="D51" s="165"/>
      <c r="E51" s="165"/>
      <c r="F51" s="165"/>
      <c r="G51" s="165"/>
      <c r="H51" s="165"/>
      <c r="I51" s="79"/>
      <c r="J51" s="201">
        <v>20</v>
      </c>
      <c r="K51" s="201"/>
      <c r="L51" s="201"/>
      <c r="M51" s="201"/>
      <c r="N51" s="79"/>
      <c r="O51" s="97">
        <v>2</v>
      </c>
      <c r="P51" s="151"/>
      <c r="Q51" s="79"/>
      <c r="R51" s="100" t="s">
        <v>8</v>
      </c>
      <c r="S51" s="79"/>
      <c r="T51" s="100" t="str">
        <f t="shared" si="0"/>
        <v>Scr3Col2Row44</v>
      </c>
      <c r="U51" s="194" t="s">
        <v>520</v>
      </c>
      <c r="V51" s="194"/>
      <c r="W51" s="194"/>
      <c r="X51" s="194"/>
      <c r="Y51" s="194"/>
      <c r="Z51" s="194"/>
      <c r="AA51" s="79"/>
      <c r="AB51" s="201">
        <v>44</v>
      </c>
      <c r="AC51" s="201"/>
      <c r="AD51" s="201"/>
      <c r="AE51" s="201"/>
      <c r="AF51" s="79"/>
      <c r="AG51" s="97">
        <v>2</v>
      </c>
      <c r="AH51" s="151"/>
      <c r="AI51" s="79"/>
      <c r="AJ51" s="100" t="s">
        <v>8</v>
      </c>
      <c r="AK51" s="79"/>
      <c r="AL51" s="100" t="str">
        <f t="shared" si="5"/>
        <v>Scr3Col3Row44</v>
      </c>
      <c r="AM51" s="195" t="s">
        <v>568</v>
      </c>
      <c r="AN51" s="195"/>
      <c r="AO51" s="195"/>
      <c r="AP51" s="195"/>
      <c r="AQ51" s="195"/>
      <c r="AR51" s="195"/>
      <c r="AS51" s="79"/>
      <c r="AT51" s="201">
        <v>68</v>
      </c>
      <c r="AU51" s="201"/>
      <c r="AV51" s="201"/>
      <c r="AW51" s="201"/>
      <c r="AX51" s="79"/>
      <c r="AY51" s="97">
        <v>2</v>
      </c>
      <c r="AZ51" s="151"/>
      <c r="BA51" s="79"/>
      <c r="BB51" s="100" t="s">
        <v>8</v>
      </c>
      <c r="BC51" s="80"/>
      <c r="BD51" s="80">
        <f t="shared" si="11"/>
        <v>16</v>
      </c>
      <c r="BE51" s="80">
        <f t="shared" si="12"/>
        <v>16</v>
      </c>
      <c r="BF51" s="101">
        <f t="shared" si="13"/>
        <v>16</v>
      </c>
      <c r="BJ51" s="102" t="str">
        <f t="shared" si="7"/>
        <v>{Scr3Col1Row44, "Scr3 Col1 Row 44", 44, 1, 0, 2, 44, 19,"C"},</v>
      </c>
      <c r="BK51" s="80" t="str">
        <f t="shared" si="14"/>
        <v>{Scr3Col2Row44, "Scr3 Col2 Row 44", 44, 28, 44, 2, 44, 46,"C"},</v>
      </c>
      <c r="BL51" s="80" t="str">
        <f t="shared" si="15"/>
        <v>{Scr3Col3Row44, "Scr3 Col3 Row 44", 44, 55, 68, 2, 44, 73,"C"},</v>
      </c>
      <c r="BM51" s="103"/>
    </row>
    <row r="52" spans="1:65" x14ac:dyDescent="0.25">
      <c r="A52" s="84">
        <v>45</v>
      </c>
      <c r="B52" s="96" t="str">
        <f t="shared" si="10"/>
        <v>Scr3Col1Row45</v>
      </c>
      <c r="C52" s="165" t="s">
        <v>473</v>
      </c>
      <c r="D52" s="165"/>
      <c r="E52" s="165"/>
      <c r="F52" s="165"/>
      <c r="G52" s="165"/>
      <c r="H52" s="165"/>
      <c r="I52" s="79"/>
      <c r="J52" s="201">
        <v>21</v>
      </c>
      <c r="K52" s="201"/>
      <c r="L52" s="201"/>
      <c r="M52" s="201"/>
      <c r="N52" s="79"/>
      <c r="O52" s="97">
        <v>2</v>
      </c>
      <c r="P52" s="151"/>
      <c r="Q52" s="79"/>
      <c r="R52" s="100" t="s">
        <v>8</v>
      </c>
      <c r="S52" s="79"/>
      <c r="T52" s="100" t="str">
        <f t="shared" si="0"/>
        <v>Scr3Col2Row45</v>
      </c>
      <c r="U52" s="194" t="s">
        <v>521</v>
      </c>
      <c r="V52" s="194"/>
      <c r="W52" s="194"/>
      <c r="X52" s="194"/>
      <c r="Y52" s="194"/>
      <c r="Z52" s="194"/>
      <c r="AA52" s="79"/>
      <c r="AB52" s="201">
        <v>45</v>
      </c>
      <c r="AC52" s="201"/>
      <c r="AD52" s="201"/>
      <c r="AE52" s="201"/>
      <c r="AF52" s="79"/>
      <c r="AG52" s="97">
        <v>2</v>
      </c>
      <c r="AH52" s="151"/>
      <c r="AI52" s="79"/>
      <c r="AJ52" s="100" t="s">
        <v>8</v>
      </c>
      <c r="AK52" s="79"/>
      <c r="AL52" s="100" t="str">
        <f t="shared" si="5"/>
        <v>Scr3Col3Row45</v>
      </c>
      <c r="AM52" s="195" t="s">
        <v>569</v>
      </c>
      <c r="AN52" s="195"/>
      <c r="AO52" s="195"/>
      <c r="AP52" s="195"/>
      <c r="AQ52" s="195"/>
      <c r="AR52" s="195"/>
      <c r="AS52" s="79"/>
      <c r="AT52" s="201">
        <v>69</v>
      </c>
      <c r="AU52" s="201"/>
      <c r="AV52" s="201"/>
      <c r="AW52" s="201"/>
      <c r="AX52" s="79"/>
      <c r="AY52" s="97">
        <v>2</v>
      </c>
      <c r="AZ52" s="151"/>
      <c r="BA52" s="79"/>
      <c r="BB52" s="100" t="s">
        <v>8</v>
      </c>
      <c r="BC52" s="80"/>
      <c r="BD52" s="80">
        <f t="shared" si="11"/>
        <v>16</v>
      </c>
      <c r="BE52" s="80">
        <f t="shared" si="12"/>
        <v>16</v>
      </c>
      <c r="BF52" s="101">
        <f t="shared" si="13"/>
        <v>16</v>
      </c>
      <c r="BJ52" s="102" t="str">
        <f t="shared" si="7"/>
        <v>{Scr3Col1Row45, "Scr3 Col1 Row 45", 45, 1, 0, 2, 45, 19,"C"},</v>
      </c>
      <c r="BK52" s="80" t="str">
        <f t="shared" si="14"/>
        <v>{Scr3Col2Row45, "Scr3 Col2 Row 45", 45, 28, 45, 2, 45, 46,"C"},</v>
      </c>
      <c r="BL52" s="80" t="str">
        <f t="shared" si="15"/>
        <v>{Scr3Col3Row45, "Scr3 Col3 Row 45", 45, 55, 69, 2, 45, 73,"C"},</v>
      </c>
      <c r="BM52" s="103"/>
    </row>
    <row r="53" spans="1:65" x14ac:dyDescent="0.25">
      <c r="A53" s="84">
        <v>46</v>
      </c>
      <c r="B53" s="96" t="str">
        <f t="shared" si="10"/>
        <v>Scr3Col1Row46</v>
      </c>
      <c r="C53" s="165" t="s">
        <v>474</v>
      </c>
      <c r="D53" s="165"/>
      <c r="E53" s="165"/>
      <c r="F53" s="165"/>
      <c r="G53" s="165"/>
      <c r="H53" s="165"/>
      <c r="I53" s="79"/>
      <c r="J53" s="201">
        <v>22</v>
      </c>
      <c r="K53" s="201"/>
      <c r="L53" s="201"/>
      <c r="M53" s="201"/>
      <c r="N53" s="79"/>
      <c r="O53" s="97">
        <v>2</v>
      </c>
      <c r="P53" s="151"/>
      <c r="Q53" s="79"/>
      <c r="R53" s="100" t="s">
        <v>8</v>
      </c>
      <c r="S53" s="79"/>
      <c r="T53" s="100" t="str">
        <f t="shared" si="0"/>
        <v>Scr3Col2Row46</v>
      </c>
      <c r="U53" s="194" t="s">
        <v>522</v>
      </c>
      <c r="V53" s="194"/>
      <c r="W53" s="194"/>
      <c r="X53" s="194"/>
      <c r="Y53" s="194"/>
      <c r="Z53" s="194"/>
      <c r="AA53" s="79"/>
      <c r="AB53" s="201">
        <v>46</v>
      </c>
      <c r="AC53" s="201"/>
      <c r="AD53" s="201"/>
      <c r="AE53" s="201"/>
      <c r="AF53" s="79"/>
      <c r="AG53" s="97">
        <v>2</v>
      </c>
      <c r="AH53" s="151"/>
      <c r="AI53" s="79"/>
      <c r="AJ53" s="100" t="s">
        <v>8</v>
      </c>
      <c r="AK53" s="79"/>
      <c r="AL53" s="100" t="str">
        <f t="shared" si="5"/>
        <v>Scr3Col3Row46</v>
      </c>
      <c r="AM53" s="195" t="s">
        <v>570</v>
      </c>
      <c r="AN53" s="195"/>
      <c r="AO53" s="195"/>
      <c r="AP53" s="195"/>
      <c r="AQ53" s="195"/>
      <c r="AR53" s="195"/>
      <c r="AS53" s="79"/>
      <c r="AT53" s="201">
        <v>70</v>
      </c>
      <c r="AU53" s="201"/>
      <c r="AV53" s="201"/>
      <c r="AW53" s="201"/>
      <c r="AX53" s="79"/>
      <c r="AY53" s="97">
        <v>2</v>
      </c>
      <c r="AZ53" s="151"/>
      <c r="BA53" s="79"/>
      <c r="BB53" s="100" t="s">
        <v>8</v>
      </c>
      <c r="BC53" s="80"/>
      <c r="BD53" s="80">
        <f t="shared" si="11"/>
        <v>16</v>
      </c>
      <c r="BE53" s="80">
        <f t="shared" si="12"/>
        <v>16</v>
      </c>
      <c r="BF53" s="101">
        <f t="shared" si="13"/>
        <v>16</v>
      </c>
      <c r="BJ53" s="102" t="str">
        <f t="shared" si="7"/>
        <v>{Scr3Col1Row46, "Scr3 Col1 Row 46", 46, 1, 0, 2, 46, 19,"C"},</v>
      </c>
      <c r="BK53" s="80" t="str">
        <f t="shared" si="14"/>
        <v>{Scr3Col2Row46, "Scr3 Col2 Row 46", 46, 28, 46, 2, 46, 46,"C"},</v>
      </c>
      <c r="BL53" s="80" t="str">
        <f t="shared" si="15"/>
        <v>{Scr3Col3Row46, "Scr3 Col3 Row 46", 46, 55, 70, 2, 46, 73,"C"},</v>
      </c>
      <c r="BM53" s="103"/>
    </row>
    <row r="54" spans="1:65" x14ac:dyDescent="0.25">
      <c r="A54" s="84">
        <v>47</v>
      </c>
      <c r="B54" s="96" t="str">
        <f t="shared" si="10"/>
        <v>Scr3Col1Row47</v>
      </c>
      <c r="C54" s="165" t="s">
        <v>475</v>
      </c>
      <c r="D54" s="165"/>
      <c r="E54" s="165"/>
      <c r="F54" s="165"/>
      <c r="G54" s="165"/>
      <c r="H54" s="165"/>
      <c r="I54" s="79"/>
      <c r="J54" s="201">
        <v>23</v>
      </c>
      <c r="K54" s="201"/>
      <c r="L54" s="201"/>
      <c r="M54" s="201"/>
      <c r="N54" s="79"/>
      <c r="O54" s="97">
        <v>2</v>
      </c>
      <c r="P54" s="151"/>
      <c r="Q54" s="79"/>
      <c r="R54" s="100" t="s">
        <v>8</v>
      </c>
      <c r="S54" s="79"/>
      <c r="T54" s="100" t="str">
        <f t="shared" si="0"/>
        <v>Scr3Col2Row47</v>
      </c>
      <c r="U54" s="194" t="s">
        <v>523</v>
      </c>
      <c r="V54" s="194"/>
      <c r="W54" s="194"/>
      <c r="X54" s="194"/>
      <c r="Y54" s="194"/>
      <c r="Z54" s="194"/>
      <c r="AA54" s="79"/>
      <c r="AB54" s="201">
        <v>47</v>
      </c>
      <c r="AC54" s="201"/>
      <c r="AD54" s="201"/>
      <c r="AE54" s="201"/>
      <c r="AF54" s="79"/>
      <c r="AG54" s="97">
        <v>4</v>
      </c>
      <c r="AH54" s="151"/>
      <c r="AI54" s="79"/>
      <c r="AJ54" s="100" t="s">
        <v>184</v>
      </c>
      <c r="AK54" s="79"/>
      <c r="AL54" s="100" t="str">
        <f t="shared" si="5"/>
        <v>Scr3Col3Row47</v>
      </c>
      <c r="AM54" s="195" t="s">
        <v>571</v>
      </c>
      <c r="AN54" s="195"/>
      <c r="AO54" s="195"/>
      <c r="AP54" s="195"/>
      <c r="AQ54" s="195"/>
      <c r="AR54" s="195"/>
      <c r="AS54" s="79"/>
      <c r="AT54" s="201">
        <v>71</v>
      </c>
      <c r="AU54" s="201"/>
      <c r="AV54" s="201"/>
      <c r="AW54" s="201"/>
      <c r="AX54" s="79"/>
      <c r="AY54" s="97">
        <v>4</v>
      </c>
      <c r="AZ54" s="151"/>
      <c r="BA54" s="79"/>
      <c r="BB54" s="100" t="s">
        <v>184</v>
      </c>
      <c r="BC54" s="80"/>
      <c r="BD54" s="80">
        <f t="shared" si="11"/>
        <v>16</v>
      </c>
      <c r="BE54" s="80">
        <f t="shared" si="12"/>
        <v>16</v>
      </c>
      <c r="BF54" s="101">
        <f t="shared" si="13"/>
        <v>16</v>
      </c>
      <c r="BJ54" s="102" t="str">
        <f t="shared" si="7"/>
        <v>{Scr3Col1Row47, "Scr3 Col1 Row 47", 47, 1, 0, 2, 47, 19,"C"},</v>
      </c>
      <c r="BK54" s="80" t="str">
        <f t="shared" si="14"/>
        <v>{Scr3Col2Row47, "Scr3 Col2 Row 47", 47, 28, 47, 4, 47, 46,"X"},</v>
      </c>
      <c r="BL54" s="80" t="str">
        <f t="shared" si="15"/>
        <v>{Scr3Col3Row47, "Scr3 Col3 Row 47", 47, 55, 71, 4, 47, 73,"X"},</v>
      </c>
      <c r="BM54" s="103"/>
    </row>
    <row r="55" spans="1:65" ht="15.75" thickBot="1" x14ac:dyDescent="0.3">
      <c r="A55" s="84">
        <v>48</v>
      </c>
      <c r="B55" s="104" t="str">
        <f t="shared" si="10"/>
        <v>Scr3Col1Row48</v>
      </c>
      <c r="C55" s="169" t="s">
        <v>476</v>
      </c>
      <c r="D55" s="169"/>
      <c r="E55" s="169"/>
      <c r="F55" s="169"/>
      <c r="G55" s="169"/>
      <c r="H55" s="169"/>
      <c r="I55" s="105"/>
      <c r="J55" s="203">
        <v>24</v>
      </c>
      <c r="K55" s="203"/>
      <c r="L55" s="203"/>
      <c r="M55" s="203"/>
      <c r="N55" s="105"/>
      <c r="O55" s="106">
        <v>2</v>
      </c>
      <c r="P55" s="107"/>
      <c r="Q55" s="105"/>
      <c r="R55" s="109" t="s">
        <v>8</v>
      </c>
      <c r="S55" s="105"/>
      <c r="T55" s="109" t="str">
        <f t="shared" si="0"/>
        <v>Scr3Col2Row48</v>
      </c>
      <c r="U55" s="199" t="s">
        <v>524</v>
      </c>
      <c r="V55" s="199"/>
      <c r="W55" s="199"/>
      <c r="X55" s="199"/>
      <c r="Y55" s="199"/>
      <c r="Z55" s="199"/>
      <c r="AA55" s="105"/>
      <c r="AB55" s="203">
        <v>48</v>
      </c>
      <c r="AC55" s="203"/>
      <c r="AD55" s="203"/>
      <c r="AE55" s="203"/>
      <c r="AF55" s="105"/>
      <c r="AG55" s="106">
        <v>4</v>
      </c>
      <c r="AH55" s="107"/>
      <c r="AI55" s="105"/>
      <c r="AJ55" s="109" t="s">
        <v>184</v>
      </c>
      <c r="AK55" s="105"/>
      <c r="AL55" s="109" t="str">
        <f t="shared" si="5"/>
        <v>Scr3Col3Row48</v>
      </c>
      <c r="AM55" s="200" t="s">
        <v>572</v>
      </c>
      <c r="AN55" s="200"/>
      <c r="AO55" s="200"/>
      <c r="AP55" s="200"/>
      <c r="AQ55" s="200"/>
      <c r="AR55" s="200"/>
      <c r="AS55" s="105"/>
      <c r="AT55" s="203">
        <v>72</v>
      </c>
      <c r="AU55" s="203"/>
      <c r="AV55" s="203"/>
      <c r="AW55" s="203"/>
      <c r="AX55" s="105"/>
      <c r="AY55" s="106">
        <v>4</v>
      </c>
      <c r="AZ55" s="107"/>
      <c r="BA55" s="105"/>
      <c r="BB55" s="109" t="s">
        <v>184</v>
      </c>
      <c r="BC55" s="110"/>
      <c r="BD55" s="110">
        <f t="shared" si="11"/>
        <v>16</v>
      </c>
      <c r="BE55" s="110">
        <f t="shared" si="12"/>
        <v>16</v>
      </c>
      <c r="BF55" s="111">
        <f t="shared" si="13"/>
        <v>16</v>
      </c>
      <c r="BJ55" s="115" t="str">
        <f t="shared" si="7"/>
        <v>{Scr3Col1Row48, "Scr3 Col1 Row 48", 48, 1, 0, 2, 48, 19,"C"},</v>
      </c>
      <c r="BK55" s="110" t="str">
        <f t="shared" si="14"/>
        <v>{Scr3Col2Row48, "Scr3 Col2 Row 48", 48, 28, 48, 4, 48, 46,"X"},</v>
      </c>
      <c r="BL55" s="110" t="str">
        <f t="shared" si="15"/>
        <v>{Scr3Col3Row48, "Scr3 Col3 Row 48", 48, 55, 72, 4, 48, 73,"X"},</v>
      </c>
      <c r="BM55" s="116"/>
    </row>
    <row r="56" spans="1:65" x14ac:dyDescent="0.25">
      <c r="A56" s="84">
        <v>49</v>
      </c>
      <c r="C56" s="204" t="s">
        <v>16</v>
      </c>
      <c r="D56" s="205"/>
      <c r="E56" s="205"/>
      <c r="F56" s="205"/>
      <c r="G56" s="205"/>
      <c r="H56" s="205"/>
      <c r="I56" s="205"/>
      <c r="J56" s="205"/>
      <c r="K56" s="205"/>
      <c r="L56" s="205"/>
      <c r="M56" s="205"/>
      <c r="N56" s="205"/>
      <c r="O56" s="205"/>
      <c r="P56" s="205"/>
      <c r="Q56" s="205"/>
      <c r="R56" s="205"/>
      <c r="S56" s="205"/>
      <c r="T56" s="205"/>
      <c r="U56" s="205"/>
      <c r="V56" s="205"/>
      <c r="W56" s="205"/>
      <c r="X56" s="205"/>
      <c r="Y56" s="205"/>
      <c r="Z56" s="205"/>
      <c r="AA56" s="205"/>
      <c r="AB56" s="205"/>
      <c r="AC56" s="205"/>
      <c r="AD56" s="205"/>
      <c r="AE56" s="205"/>
      <c r="AF56" s="205"/>
      <c r="AG56" s="205"/>
      <c r="AH56" s="205"/>
      <c r="AI56" s="205"/>
      <c r="AJ56" s="205"/>
      <c r="AK56" s="205"/>
      <c r="AL56" s="205"/>
      <c r="AM56" s="205"/>
      <c r="AN56" s="205"/>
      <c r="AO56" s="205"/>
      <c r="AP56" s="205"/>
      <c r="AQ56" s="205"/>
      <c r="AR56" s="205"/>
      <c r="AS56" s="205"/>
      <c r="AT56" s="205"/>
      <c r="AU56" s="205"/>
      <c r="AV56" s="205"/>
      <c r="AW56" s="205"/>
      <c r="AX56" s="205"/>
      <c r="AY56" s="205"/>
      <c r="AZ56" s="205"/>
      <c r="BA56" s="205"/>
      <c r="BB56" s="205"/>
      <c r="BC56" s="205"/>
      <c r="BD56" s="206"/>
    </row>
    <row r="57" spans="1:65" x14ac:dyDescent="0.25">
      <c r="AJ57" s="79"/>
    </row>
    <row r="58" spans="1:65" x14ac:dyDescent="0.25">
      <c r="U58" s="117"/>
      <c r="V58" s="117"/>
      <c r="W58" s="117"/>
      <c r="X58" s="117"/>
      <c r="Y58" s="117"/>
      <c r="Z58" s="117"/>
      <c r="AA58" s="79"/>
    </row>
    <row r="59" spans="1:65" s="132" customFormat="1" x14ac:dyDescent="0.25">
      <c r="A59" s="132">
        <v>1</v>
      </c>
      <c r="B59" s="132">
        <v>2</v>
      </c>
      <c r="C59" s="132">
        <v>3</v>
      </c>
      <c r="D59" s="132">
        <v>4</v>
      </c>
      <c r="E59" s="132">
        <v>5</v>
      </c>
      <c r="F59" s="132">
        <v>6</v>
      </c>
      <c r="G59" s="132">
        <v>7</v>
      </c>
      <c r="H59" s="132">
        <v>8</v>
      </c>
      <c r="I59" s="132">
        <v>9</v>
      </c>
      <c r="J59" s="132">
        <v>10</v>
      </c>
      <c r="K59" s="132">
        <v>11</v>
      </c>
      <c r="L59" s="132">
        <v>12</v>
      </c>
      <c r="M59" s="132">
        <v>13</v>
      </c>
      <c r="N59" s="132">
        <v>14</v>
      </c>
      <c r="O59" s="132">
        <v>15</v>
      </c>
      <c r="P59" s="132">
        <v>16</v>
      </c>
      <c r="Q59" s="132">
        <v>17</v>
      </c>
      <c r="R59" s="132">
        <v>18</v>
      </c>
      <c r="S59" s="132">
        <v>19</v>
      </c>
      <c r="T59" s="132">
        <v>20</v>
      </c>
      <c r="U59" s="132">
        <v>21</v>
      </c>
      <c r="V59" s="132">
        <v>22</v>
      </c>
      <c r="W59" s="132">
        <v>23</v>
      </c>
      <c r="X59" s="132">
        <v>24</v>
      </c>
      <c r="Y59" s="132">
        <v>25</v>
      </c>
      <c r="Z59" s="132">
        <v>26</v>
      </c>
      <c r="AA59" s="132">
        <v>27</v>
      </c>
      <c r="AB59" s="132">
        <v>28</v>
      </c>
      <c r="AC59" s="132">
        <v>29</v>
      </c>
      <c r="AD59" s="132">
        <v>30</v>
      </c>
      <c r="AE59" s="132">
        <v>31</v>
      </c>
      <c r="AF59" s="132">
        <v>32</v>
      </c>
      <c r="AG59" s="132">
        <v>33</v>
      </c>
      <c r="AH59" s="132">
        <v>34</v>
      </c>
      <c r="AI59" s="132">
        <v>35</v>
      </c>
      <c r="AJ59" s="132">
        <v>36</v>
      </c>
      <c r="AK59" s="132">
        <v>37</v>
      </c>
      <c r="AL59" s="132">
        <v>38</v>
      </c>
      <c r="AM59" s="132">
        <v>39</v>
      </c>
      <c r="AN59" s="132">
        <v>40</v>
      </c>
      <c r="AO59" s="132">
        <v>41</v>
      </c>
      <c r="AP59" s="132">
        <v>42</v>
      </c>
      <c r="AQ59" s="132">
        <v>43</v>
      </c>
      <c r="AR59" s="132">
        <v>44</v>
      </c>
      <c r="AS59" s="132">
        <v>45</v>
      </c>
      <c r="AT59" s="132">
        <v>46</v>
      </c>
      <c r="AU59" s="132">
        <v>47</v>
      </c>
      <c r="AV59" s="132">
        <v>48</v>
      </c>
      <c r="AW59" s="132">
        <v>49</v>
      </c>
      <c r="AX59" s="132">
        <v>50</v>
      </c>
      <c r="AY59" s="132">
        <v>51</v>
      </c>
      <c r="AZ59" s="132">
        <v>52</v>
      </c>
      <c r="BA59" s="132">
        <v>53</v>
      </c>
      <c r="BB59" s="132">
        <v>54</v>
      </c>
      <c r="BC59" s="132">
        <v>55</v>
      </c>
      <c r="BD59" s="132">
        <v>56</v>
      </c>
      <c r="BE59" s="132">
        <v>57</v>
      </c>
      <c r="BF59" s="132">
        <v>58</v>
      </c>
      <c r="BJ59" s="132">
        <v>62</v>
      </c>
      <c r="BK59" s="132">
        <v>80</v>
      </c>
      <c r="BL59" s="132">
        <v>94</v>
      </c>
    </row>
    <row r="60" spans="1:65" x14ac:dyDescent="0.25">
      <c r="BJ60" s="118"/>
    </row>
    <row r="61" spans="1:65" x14ac:dyDescent="0.25">
      <c r="BJ61" s="118"/>
    </row>
    <row r="62" spans="1:65" x14ac:dyDescent="0.25">
      <c r="I62" s="85"/>
      <c r="BJ62" s="119" t="s">
        <v>164</v>
      </c>
    </row>
    <row r="63" spans="1:65" x14ac:dyDescent="0.25">
      <c r="BJ63" s="79"/>
    </row>
    <row r="64" spans="1:65" x14ac:dyDescent="0.25">
      <c r="BJ64" s="117" t="str">
        <f>$B$8&amp;", "&amp;$T$8&amp;", "&amp;$AL$8&amp;", "&amp;$B$9&amp;", "&amp;$T$9&amp;", "&amp;$AL$9&amp;", "&amp;$B$10&amp;", "&amp;$T$10&amp;", "&amp;$AL$10&amp;", "&amp;$B$11&amp;", "&amp;$T$11&amp;", "&amp;$AL$11&amp;", "&amp;$B$12&amp;", "&amp;$T$12&amp;", "&amp;$AL$12&amp;", "&amp;$B$13&amp;", "&amp;$T$13&amp;", "&amp;$AL$13&amp;", "&amp;$B$14&amp;", "&amp;$T$14&amp;", "&amp;$AL$14&amp;", "&amp;$B$15&amp;", "&amp;$T$15&amp;", "&amp;$AL$15&amp;","</f>
        <v>Scr3Col1Row1, Scr3Col2Row1, Scr3Col3Row1, Scr3Col1Row2, Scr3Col2Row2, Scr3Col3Row2, Scr3Col1Row3, Scr3Col2Row3, Scr3Col3Row3, Scr3Col1Row4, Scr3Col2Row4, Scr3Col3Row4, Scr3Col1Row5, Scr3Col2Row5, Scr3Col3Row5, Scr3Col1Row6, Scr3Col2Row6, Scr3Col3Row6, Scr3Col1Row7, Scr3Col2Row7, Scr3Col3Row7, Scr3Col1Row8, Scr3Col2Row8, Scr3Col3Row8,</v>
      </c>
    </row>
    <row r="65" spans="62:62" x14ac:dyDescent="0.25">
      <c r="BJ65" s="117" t="str">
        <f>$B$16&amp;", "&amp;$T$16&amp;", "&amp;$AL$16&amp;", "&amp;$B$17&amp;", "&amp;$T$17&amp;", "&amp;$AL$18&amp;", "&amp;$B$18&amp;", "&amp;$T$18&amp;", "&amp;$AL$17&amp;", "&amp;$B$19&amp;", "&amp;$T$19&amp;", "&amp;$AL$19&amp;", "&amp;$B$20&amp;", "&amp;$T$20&amp;", "&amp;$AL$20&amp;", "&amp;$B$21&amp;", "&amp;$T$21&amp;", "&amp;$AL$21&amp;", "&amp;$B$22&amp;", "&amp;$T$22&amp;", "&amp;$AL$22&amp;", "&amp;$B$23&amp;", "&amp;$T$23&amp;", "&amp;$AL$23&amp;","</f>
        <v>Scr3Col1Row9, Scr3Col2Row9, Scr3Col3Row9, Scr3Col1Row10, Scr3Col2Row10, Scr3Col3Row11, Scr3Col1Row11, Scr3Col2Row11, Scr3Col3Row10, Scr3Col1Row12, Scr3Col2Row12, Scr3Col3Row12, Scr3Col1Row13, Scr3Col2Row13, Scr3Col3Row13, Scr3Col1Row14, Scr3Col2Row14, Scr3Col3Row14, Scr3Col1Row15, Scr3Col2Row15, Scr3Col3Row15, Scr3Col1Row16, Scr3Col2Row16, Scr3Col3Row16,</v>
      </c>
    </row>
    <row r="66" spans="62:62" x14ac:dyDescent="0.25">
      <c r="BJ66" s="117" t="str">
        <f>$B$24&amp;", "&amp;$T$24&amp;", "&amp;$AL$24&amp;", "&amp;$B$25&amp;", "&amp;$T$25&amp;", "&amp;$AL$25&amp;", "&amp;$B$26&amp;", "&amp;$T$26&amp;", "&amp;$AL$26&amp;", "&amp;$B$27&amp;", "&amp;$T$27&amp;", "&amp;$AL$27&amp;", "&amp;$B$28&amp;", "&amp;$T$28&amp;", "&amp;$AL$28&amp;", "&amp;$B$29&amp;", "&amp;$T$29&amp;", "&amp;$AL$29&amp;", "&amp;$B$30&amp;", "&amp;$T$30&amp;", "&amp;$AL$30&amp;", "&amp;$B$31&amp;", "&amp;$T$31&amp;", "&amp;$AL$31&amp;","</f>
        <v>Scr3Col1Row17, Scr3Col2Row17, Scr3Col3Row17, Scr3Col1Row18, Scr3Col2Row18, Scr3Col3Row18, Scr3Col1Row19, Scr3Col2Row19, Scr3Col3Row19, Scr3Col1Row20, Scr3Col2Row20, Scr3Col3Row20, Scr3Col1Row21, Scr3Col2Row21, Scr3Col3Row21, Scr3Col1Row22, Scr3Col2Row22, Scr3Col3Row22, Scr3Col1Row23, Scr3Col2Row23, Scr3Col3Row23, Scr3Col1Row24, Scr3Col2Row24, Scr3Col3Row24,</v>
      </c>
    </row>
    <row r="67" spans="62:62" x14ac:dyDescent="0.25">
      <c r="BJ67" s="117" t="str">
        <f>$B$32&amp;", "&amp;$T$32&amp;", "&amp;$AL$32&amp;", "&amp;$B$33&amp;", "&amp;$T$33&amp;", "&amp;$AL$33&amp;", "&amp;$B$34&amp;", "&amp;$T$34&amp;", "&amp;$AL$34&amp;", "&amp;$B$35&amp;", "&amp;$T$35&amp;", "&amp;$AL$35&amp;", "&amp;$B$36&amp;", "&amp;$T$36&amp;", "&amp;$AL$36&amp;", "&amp;$B$37&amp;", "&amp;$T$37&amp;", "&amp;$AL$37&amp;", "&amp;$B$38&amp;", "&amp;$T$38&amp;", "&amp;$AL$38&amp;", "&amp;$B$39&amp;", "&amp;$T$39&amp;", "&amp;$AL$39&amp;","</f>
        <v>Scr3Col1Row25, Scr3Col2Row25, Scr3Col3Row25, Scr3Col1Row26, Scr3Col2Row26, Scr3Col3Row26, Scr3Col1Row27, Scr3Col2Row27, Scr3Col3Row27, Scr3Col1Row28, Scr3Col2Row28, Scr3Col3Row28, Scr3Col1Row29, Scr3Col2Row29, Scr3Col3Row29, Scr3Col1Row30, Scr3Col2Row30, Scr3Col3Row30, Scr3Col1Row31, Scr3Col2Row31, Scr3Col3Row31, Scr3Col1Row32, Scr3Col2Row32, Scr3Col3Row32,</v>
      </c>
    </row>
    <row r="68" spans="62:62" x14ac:dyDescent="0.25">
      <c r="BJ68" s="117" t="str">
        <f>$B$40&amp;", "&amp;$T$40&amp;", "&amp;$AL$40&amp;", "&amp;$B$41&amp;", "&amp;$T$41&amp;", "&amp;$AL$41&amp;", "&amp;$B$42&amp;", "&amp;$T$42&amp;", "&amp;$AL$42&amp;", "&amp;$B$43&amp;", "&amp;$T$43&amp;", "&amp;$AL$43&amp;", "&amp;$B$44&amp;", "&amp;$T$44&amp;", "&amp;$AL$44&amp;", "&amp;$B$45&amp;", "&amp;$T$45&amp;", "&amp;$AL$45&amp;", "&amp;$B$46&amp;", "&amp;$T$46&amp;", "&amp;$AL$46&amp;", "&amp;$B$47&amp;", "&amp;$T$47&amp;", "&amp;$AL$47&amp;","</f>
        <v>Scr3Col1Row33, Scr3Col2Row33, Scr3Col3Row33, Scr3Col1Row34, Scr3Col2Row34, Scr3Col3Row34, Scr3Col1Row35, Scr3Col2Row35, Scr3Col3Row35, Scr3Col1Row36, Scr3Col2Row36, Scr3Col3Row36, Scr3Col1Row37, Scr3Col2Row37, Scr3Col3Row37, Scr3Col1Row38, Scr3Col2Row38, Scr3Col3Row38, Scr3Col1Row39, Scr3Col2Row39, Scr3Col3Row39, Scr3Col1Row40, Scr3Col2Row40, Scr3Col3Row40,</v>
      </c>
    </row>
    <row r="69" spans="62:62" x14ac:dyDescent="0.25">
      <c r="BJ69" s="117" t="str">
        <f>$B$48&amp;", "&amp;$T$48&amp;", "&amp;$AL$48&amp;", "&amp;$B$49&amp;", "&amp;$T$49&amp;", "&amp;$AL$49&amp;", "&amp;$B$50&amp;", "&amp;$T$50&amp;", "&amp;$AL$50&amp;", "&amp;$B$51&amp;", "&amp;$T$51&amp;", "&amp;$AL$51&amp;", "&amp;$B$52&amp;", "&amp;$T$52&amp;", "&amp;$AL$52&amp;", "&amp;$B$53&amp;", "&amp;$T$53&amp;", "&amp;$AL$53&amp;", "&amp;$B$54&amp;", "&amp;$T$54&amp;", "&amp;$AL$54&amp;", "&amp;$B$55&amp;", "&amp;$T$55&amp;", "&amp;$AL$55&amp;","&amp; "Parm_Index_Last"</f>
        <v>Scr3Col1Row41, Scr3Col2Row41, Scr3Col3Row41, Scr3Col1Row42, Scr3Col2Row42, Scr3Col3Row42, Scr3Col1Row43, Scr3Col2Row43, Scr3Col3Row43, Scr3Col1Row44, Scr3Col2Row44, Scr3Col3Row44, Scr3Col1Row45, Scr3Col2Row45, Scr3Col3Row45, Scr3Col1Row46, Scr3Col2Row46, Scr3Col3Row46, Scr3Col1Row47, Scr3Col2Row47, Scr3Col3Row47, Scr3Col1Row48, Scr3Col2Row48, Scr3Col3Row48,Parm_Index_Last</v>
      </c>
    </row>
    <row r="70" spans="62:62" x14ac:dyDescent="0.25">
      <c r="BJ70" s="79"/>
    </row>
    <row r="71" spans="62:62" x14ac:dyDescent="0.25">
      <c r="BJ71" s="79"/>
    </row>
    <row r="72" spans="62:62" x14ac:dyDescent="0.25">
      <c r="BJ72" s="84"/>
    </row>
  </sheetData>
  <mergeCells count="291">
    <mergeCell ref="C56:BD56"/>
    <mergeCell ref="C55:H55"/>
    <mergeCell ref="J55:M55"/>
    <mergeCell ref="U55:Z55"/>
    <mergeCell ref="AB55:AE55"/>
    <mergeCell ref="AM55:AR55"/>
    <mergeCell ref="AT55:AW55"/>
    <mergeCell ref="C54:H54"/>
    <mergeCell ref="J54:M54"/>
    <mergeCell ref="U54:Z54"/>
    <mergeCell ref="AB54:AE54"/>
    <mergeCell ref="AM54:AR54"/>
    <mergeCell ref="AT54:AW54"/>
    <mergeCell ref="C53:H53"/>
    <mergeCell ref="J53:M53"/>
    <mergeCell ref="U53:Z53"/>
    <mergeCell ref="AB53:AE53"/>
    <mergeCell ref="AM53:AR53"/>
    <mergeCell ref="AT53:AW53"/>
    <mergeCell ref="C52:H52"/>
    <mergeCell ref="J52:M52"/>
    <mergeCell ref="U52:Z52"/>
    <mergeCell ref="AB52:AE52"/>
    <mergeCell ref="AM52:AR52"/>
    <mergeCell ref="AT52:AW52"/>
    <mergeCell ref="C51:H51"/>
    <mergeCell ref="J51:M51"/>
    <mergeCell ref="U51:Z51"/>
    <mergeCell ref="AB51:AE51"/>
    <mergeCell ref="AM51:AR51"/>
    <mergeCell ref="AT51:AW51"/>
    <mergeCell ref="C50:H50"/>
    <mergeCell ref="J50:M50"/>
    <mergeCell ref="U50:Z50"/>
    <mergeCell ref="AB50:AE50"/>
    <mergeCell ref="AM50:AR50"/>
    <mergeCell ref="AT50:AW50"/>
    <mergeCell ref="C49:H49"/>
    <mergeCell ref="J49:M49"/>
    <mergeCell ref="U49:Z49"/>
    <mergeCell ref="AB49:AE49"/>
    <mergeCell ref="AM49:AR49"/>
    <mergeCell ref="AT49:AW49"/>
    <mergeCell ref="C48:H48"/>
    <mergeCell ref="J48:M48"/>
    <mergeCell ref="U48:Z48"/>
    <mergeCell ref="AB48:AE48"/>
    <mergeCell ref="AM48:AR48"/>
    <mergeCell ref="AT48:AW48"/>
    <mergeCell ref="C47:H47"/>
    <mergeCell ref="J47:M47"/>
    <mergeCell ref="U47:Z47"/>
    <mergeCell ref="AB47:AE47"/>
    <mergeCell ref="AM47:AR47"/>
    <mergeCell ref="AT47:AW47"/>
    <mergeCell ref="C46:H46"/>
    <mergeCell ref="J46:M46"/>
    <mergeCell ref="U46:Z46"/>
    <mergeCell ref="AB46:AE46"/>
    <mergeCell ref="AM46:AR46"/>
    <mergeCell ref="AT46:AW46"/>
    <mergeCell ref="C45:H45"/>
    <mergeCell ref="J45:M45"/>
    <mergeCell ref="U45:Z45"/>
    <mergeCell ref="AB45:AE45"/>
    <mergeCell ref="AM45:AR45"/>
    <mergeCell ref="AT45:AW45"/>
    <mergeCell ref="C44:H44"/>
    <mergeCell ref="J44:M44"/>
    <mergeCell ref="U44:Z44"/>
    <mergeCell ref="AB44:AE44"/>
    <mergeCell ref="AM44:AR44"/>
    <mergeCell ref="AT44:AW44"/>
    <mergeCell ref="C43:H43"/>
    <mergeCell ref="J43:M43"/>
    <mergeCell ref="U43:Z43"/>
    <mergeCell ref="AB43:AE43"/>
    <mergeCell ref="AM43:AR43"/>
    <mergeCell ref="AT43:AW43"/>
    <mergeCell ref="C42:H42"/>
    <mergeCell ref="J42:M42"/>
    <mergeCell ref="U42:Z42"/>
    <mergeCell ref="AB42:AE42"/>
    <mergeCell ref="AM42:AR42"/>
    <mergeCell ref="AT42:AW42"/>
    <mergeCell ref="C41:H41"/>
    <mergeCell ref="J41:M41"/>
    <mergeCell ref="U41:Z41"/>
    <mergeCell ref="AB41:AE41"/>
    <mergeCell ref="AM41:AR41"/>
    <mergeCell ref="AT41:AW41"/>
    <mergeCell ref="C40:H40"/>
    <mergeCell ref="J40:M40"/>
    <mergeCell ref="U40:Z40"/>
    <mergeCell ref="AB40:AE40"/>
    <mergeCell ref="AM40:AR40"/>
    <mergeCell ref="AT40:AW40"/>
    <mergeCell ref="C39:H39"/>
    <mergeCell ref="J39:M39"/>
    <mergeCell ref="U39:Z39"/>
    <mergeCell ref="AB39:AE39"/>
    <mergeCell ref="AM39:AR39"/>
    <mergeCell ref="AT39:AW39"/>
    <mergeCell ref="C38:H38"/>
    <mergeCell ref="J38:M38"/>
    <mergeCell ref="U38:Z38"/>
    <mergeCell ref="AB38:AE38"/>
    <mergeCell ref="AM38:AR38"/>
    <mergeCell ref="AT38:AW38"/>
    <mergeCell ref="C37:H37"/>
    <mergeCell ref="J37:M37"/>
    <mergeCell ref="U37:Z37"/>
    <mergeCell ref="AB37:AE37"/>
    <mergeCell ref="AM37:AR37"/>
    <mergeCell ref="AT37:AW37"/>
    <mergeCell ref="C36:H36"/>
    <mergeCell ref="J36:M36"/>
    <mergeCell ref="U36:Z36"/>
    <mergeCell ref="AB36:AE36"/>
    <mergeCell ref="AM36:AR36"/>
    <mergeCell ref="AT36:AW36"/>
    <mergeCell ref="C35:H35"/>
    <mergeCell ref="J35:M35"/>
    <mergeCell ref="U35:Z35"/>
    <mergeCell ref="AB35:AE35"/>
    <mergeCell ref="AM35:AR35"/>
    <mergeCell ref="AT35:AW35"/>
    <mergeCell ref="C34:H34"/>
    <mergeCell ref="J34:M34"/>
    <mergeCell ref="U34:Z34"/>
    <mergeCell ref="AB34:AE34"/>
    <mergeCell ref="AM34:AR34"/>
    <mergeCell ref="AT34:AW34"/>
    <mergeCell ref="C33:H33"/>
    <mergeCell ref="J33:M33"/>
    <mergeCell ref="U33:Z33"/>
    <mergeCell ref="AB33:AE33"/>
    <mergeCell ref="AM33:AR33"/>
    <mergeCell ref="AT33:AW33"/>
    <mergeCell ref="C32:H32"/>
    <mergeCell ref="J32:M32"/>
    <mergeCell ref="U32:Z32"/>
    <mergeCell ref="AB32:AE32"/>
    <mergeCell ref="AM32:AR32"/>
    <mergeCell ref="AT32:AW32"/>
    <mergeCell ref="C31:H31"/>
    <mergeCell ref="J31:M31"/>
    <mergeCell ref="U31:Z31"/>
    <mergeCell ref="AB31:AE31"/>
    <mergeCell ref="AM31:AR31"/>
    <mergeCell ref="AT31:AW31"/>
    <mergeCell ref="C30:H30"/>
    <mergeCell ref="J30:M30"/>
    <mergeCell ref="U30:Z30"/>
    <mergeCell ref="AB30:AE30"/>
    <mergeCell ref="AM30:AR30"/>
    <mergeCell ref="AT30:AW30"/>
    <mergeCell ref="C29:H29"/>
    <mergeCell ref="J29:M29"/>
    <mergeCell ref="U29:Z29"/>
    <mergeCell ref="AB29:AE29"/>
    <mergeCell ref="AM29:AR29"/>
    <mergeCell ref="AT29:AW29"/>
    <mergeCell ref="C28:H28"/>
    <mergeCell ref="J28:M28"/>
    <mergeCell ref="U28:Z28"/>
    <mergeCell ref="AB28:AE28"/>
    <mergeCell ref="AM28:AR28"/>
    <mergeCell ref="AT28:AW28"/>
    <mergeCell ref="C27:H27"/>
    <mergeCell ref="J27:M27"/>
    <mergeCell ref="U27:Z27"/>
    <mergeCell ref="AB27:AE27"/>
    <mergeCell ref="AM27:AR27"/>
    <mergeCell ref="AT27:AW27"/>
    <mergeCell ref="C26:H26"/>
    <mergeCell ref="J26:M26"/>
    <mergeCell ref="U26:Z26"/>
    <mergeCell ref="AB26:AE26"/>
    <mergeCell ref="AM26:AR26"/>
    <mergeCell ref="AT26:AW26"/>
    <mergeCell ref="C25:H25"/>
    <mergeCell ref="J25:M25"/>
    <mergeCell ref="U25:Z25"/>
    <mergeCell ref="AB25:AE25"/>
    <mergeCell ref="AM25:AR25"/>
    <mergeCell ref="AT25:AW25"/>
    <mergeCell ref="C24:H24"/>
    <mergeCell ref="J24:M24"/>
    <mergeCell ref="U24:Z24"/>
    <mergeCell ref="AB24:AE24"/>
    <mergeCell ref="AM24:AR24"/>
    <mergeCell ref="AT24:AW24"/>
    <mergeCell ref="C23:H23"/>
    <mergeCell ref="J23:M23"/>
    <mergeCell ref="U23:Z23"/>
    <mergeCell ref="AB23:AE23"/>
    <mergeCell ref="AM23:AR23"/>
    <mergeCell ref="AT23:AW23"/>
    <mergeCell ref="C22:H22"/>
    <mergeCell ref="J22:M22"/>
    <mergeCell ref="U22:Z22"/>
    <mergeCell ref="AB22:AE22"/>
    <mergeCell ref="AM22:AR22"/>
    <mergeCell ref="AT22:AW22"/>
    <mergeCell ref="C21:H21"/>
    <mergeCell ref="J21:M21"/>
    <mergeCell ref="U21:Z21"/>
    <mergeCell ref="AB21:AE21"/>
    <mergeCell ref="AM21:AR21"/>
    <mergeCell ref="AT21:AW21"/>
    <mergeCell ref="C19:H19"/>
    <mergeCell ref="J19:M19"/>
    <mergeCell ref="U19:Z19"/>
    <mergeCell ref="AB19:AE19"/>
    <mergeCell ref="AM19:AR19"/>
    <mergeCell ref="C20:H20"/>
    <mergeCell ref="J20:M20"/>
    <mergeCell ref="U20:Z20"/>
    <mergeCell ref="AB20:AE20"/>
    <mergeCell ref="AM20:AR20"/>
    <mergeCell ref="C17:H17"/>
    <mergeCell ref="J17:M17"/>
    <mergeCell ref="U17:Z17"/>
    <mergeCell ref="AB17:AE17"/>
    <mergeCell ref="AM17:AR17"/>
    <mergeCell ref="C18:H18"/>
    <mergeCell ref="J18:M18"/>
    <mergeCell ref="U18:Z18"/>
    <mergeCell ref="AB18:AE18"/>
    <mergeCell ref="AM18:AR18"/>
    <mergeCell ref="C16:H16"/>
    <mergeCell ref="J16:M16"/>
    <mergeCell ref="U16:Z16"/>
    <mergeCell ref="AB16:AE16"/>
    <mergeCell ref="AM16:AR16"/>
    <mergeCell ref="AT16:AW16"/>
    <mergeCell ref="C15:H15"/>
    <mergeCell ref="J15:M15"/>
    <mergeCell ref="U15:Z15"/>
    <mergeCell ref="AB15:AE15"/>
    <mergeCell ref="AM15:AR15"/>
    <mergeCell ref="AT15:AW15"/>
    <mergeCell ref="C14:H14"/>
    <mergeCell ref="J14:M14"/>
    <mergeCell ref="U14:Z14"/>
    <mergeCell ref="AB14:AE14"/>
    <mergeCell ref="AM14:AR14"/>
    <mergeCell ref="AT14:AW14"/>
    <mergeCell ref="C13:H13"/>
    <mergeCell ref="J13:M13"/>
    <mergeCell ref="U13:Z13"/>
    <mergeCell ref="AB13:AE13"/>
    <mergeCell ref="AM13:AR13"/>
    <mergeCell ref="AT13:AW13"/>
    <mergeCell ref="C12:H12"/>
    <mergeCell ref="J12:M12"/>
    <mergeCell ref="U12:Z12"/>
    <mergeCell ref="AB12:AE12"/>
    <mergeCell ref="AM12:AR12"/>
    <mergeCell ref="AT12:AW12"/>
    <mergeCell ref="C11:H11"/>
    <mergeCell ref="J11:M11"/>
    <mergeCell ref="U11:Z11"/>
    <mergeCell ref="AB11:AE11"/>
    <mergeCell ref="AM11:AR11"/>
    <mergeCell ref="AT11:AW11"/>
    <mergeCell ref="AT17:AW17"/>
    <mergeCell ref="AT18:AW18"/>
    <mergeCell ref="AT19:AW19"/>
    <mergeCell ref="AT20:AW20"/>
    <mergeCell ref="U2:Z2"/>
    <mergeCell ref="AV2:BA2"/>
    <mergeCell ref="C8:H8"/>
    <mergeCell ref="J8:M8"/>
    <mergeCell ref="U8:Z8"/>
    <mergeCell ref="AB8:AE8"/>
    <mergeCell ref="AM8:AR8"/>
    <mergeCell ref="AT8:AW8"/>
    <mergeCell ref="C10:H10"/>
    <mergeCell ref="J10:M10"/>
    <mergeCell ref="U10:Z10"/>
    <mergeCell ref="AB10:AE10"/>
    <mergeCell ref="AM10:AR10"/>
    <mergeCell ref="AT10:AW10"/>
    <mergeCell ref="C9:H9"/>
    <mergeCell ref="J9:M9"/>
    <mergeCell ref="U9:Z9"/>
    <mergeCell ref="AB9:AE9"/>
    <mergeCell ref="AM9:AR9"/>
    <mergeCell ref="AT9:AW9"/>
  </mergeCells>
  <conditionalFormatting sqref="U8:Z55 AM8:AR55">
    <cfRule type="cellIs" dxfId="14" priority="18" operator="lessThan">
      <formula>17</formula>
    </cfRule>
  </conditionalFormatting>
  <conditionalFormatting sqref="U8:U55 AM8:AM55">
    <cfRule type="cellIs" dxfId="13" priority="17" operator="lessThan">
      <formula>16</formula>
    </cfRule>
  </conditionalFormatting>
  <conditionalFormatting sqref="BD9 BD12 BD15 BD21 BD27 BD18 BD24 BD30">
    <cfRule type="cellIs" dxfId="12" priority="16" stopIfTrue="1" operator="lessThan">
      <formula>"&lt;16"</formula>
    </cfRule>
  </conditionalFormatting>
  <conditionalFormatting sqref="BD8:BF31">
    <cfRule type="cellIs" dxfId="11" priority="14" operator="greaterThan">
      <formula>16</formula>
    </cfRule>
    <cfRule type="cellIs" dxfId="10" priority="15" operator="lessThan">
      <formula>17</formula>
    </cfRule>
  </conditionalFormatting>
  <conditionalFormatting sqref="BD33 BD36 BD39 BD45 BD51 BD42 BD48 BD54">
    <cfRule type="cellIs" dxfId="9" priority="9" stopIfTrue="1" operator="lessThan">
      <formula>"&lt;16"</formula>
    </cfRule>
  </conditionalFormatting>
  <conditionalFormatting sqref="BD32:BF55">
    <cfRule type="cellIs" dxfId="8" priority="7" operator="greaterThan">
      <formula>16</formula>
    </cfRule>
    <cfRule type="cellIs" dxfId="7" priority="8" operator="lessThan">
      <formula>17</formula>
    </cfRule>
  </conditionalFormatting>
  <conditionalFormatting sqref="C8:C55">
    <cfRule type="cellIs" dxfId="6" priority="2" operator="lessThan">
      <formula>17</formula>
    </cfRule>
  </conditionalFormatting>
  <conditionalFormatting sqref="C8:C55">
    <cfRule type="cellIs" dxfId="5" priority="1" operator="lessThan">
      <formula>16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2" r:id="rId4" name="Button 6">
              <controlPr defaultSize="0" print="0" autoFill="0" autoPict="0" macro="[0]!Button6_Click">
                <anchor moveWithCells="1" sizeWithCells="1">
                  <from>
                    <xdr:col>61</xdr:col>
                    <xdr:colOff>9525</xdr:colOff>
                    <xdr:row>0</xdr:row>
                    <xdr:rowOff>190500</xdr:rowOff>
                  </from>
                  <to>
                    <xdr:col>61</xdr:col>
                    <xdr:colOff>3790950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"/>
  <sheetViews>
    <sheetView workbookViewId="0">
      <selection activeCell="D26" sqref="D26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M57"/>
  <sheetViews>
    <sheetView zoomScale="70" zoomScaleNormal="70" workbookViewId="0">
      <selection activeCell="AL5" sqref="AL5"/>
    </sheetView>
  </sheetViews>
  <sheetFormatPr defaultRowHeight="15" x14ac:dyDescent="0.25"/>
  <cols>
    <col min="1" max="1" width="3.7109375" customWidth="1"/>
    <col min="2" max="2" width="17.85546875" customWidth="1"/>
    <col min="3" max="19" width="3" customWidth="1"/>
    <col min="20" max="20" width="16.28515625" customWidth="1"/>
    <col min="21" max="37" width="3" customWidth="1"/>
    <col min="38" max="38" width="14.140625" customWidth="1"/>
    <col min="39" max="87" width="3" customWidth="1"/>
    <col min="88" max="88" width="7.5703125" customWidth="1"/>
    <col min="89" max="89" width="13.5703125" customWidth="1"/>
    <col min="90" max="90" width="6.85546875" customWidth="1"/>
    <col min="91" max="101" width="3" customWidth="1"/>
  </cols>
  <sheetData>
    <row r="1" spans="1:104" ht="15.75" thickBot="1" x14ac:dyDescent="0.3">
      <c r="C1" s="29">
        <v>1</v>
      </c>
      <c r="D1" s="30">
        <v>2</v>
      </c>
      <c r="E1" s="30">
        <v>3</v>
      </c>
      <c r="F1" s="30">
        <v>4</v>
      </c>
      <c r="G1" s="30">
        <v>5</v>
      </c>
      <c r="H1" s="30">
        <v>6</v>
      </c>
      <c r="I1" s="30">
        <v>7</v>
      </c>
      <c r="J1" s="30">
        <v>8</v>
      </c>
      <c r="K1" s="30">
        <v>9</v>
      </c>
      <c r="L1" s="30">
        <v>10</v>
      </c>
      <c r="M1" s="30">
        <v>11</v>
      </c>
      <c r="N1" s="30">
        <v>12</v>
      </c>
      <c r="O1" s="30">
        <v>13</v>
      </c>
      <c r="P1" s="30">
        <v>14</v>
      </c>
      <c r="Q1" s="30">
        <v>15</v>
      </c>
      <c r="R1" s="30">
        <v>16</v>
      </c>
      <c r="S1" s="30">
        <v>17</v>
      </c>
      <c r="T1" s="30">
        <v>18</v>
      </c>
      <c r="U1" s="30">
        <v>19</v>
      </c>
      <c r="V1" s="30">
        <v>20</v>
      </c>
      <c r="W1" s="30">
        <v>21</v>
      </c>
      <c r="X1" s="30">
        <v>22</v>
      </c>
      <c r="Y1" s="30">
        <v>23</v>
      </c>
      <c r="Z1" s="30">
        <v>24</v>
      </c>
      <c r="AA1" s="30">
        <v>25</v>
      </c>
      <c r="AB1" s="30">
        <v>26</v>
      </c>
      <c r="AC1" s="30">
        <v>27</v>
      </c>
      <c r="AD1" s="30">
        <v>28</v>
      </c>
      <c r="AE1" s="30">
        <v>29</v>
      </c>
      <c r="AF1" s="30">
        <v>30</v>
      </c>
      <c r="AG1" s="30">
        <v>31</v>
      </c>
      <c r="AH1" s="30">
        <v>32</v>
      </c>
      <c r="AI1" s="30">
        <v>33</v>
      </c>
      <c r="AJ1" s="30">
        <v>34</v>
      </c>
      <c r="AK1" s="30">
        <v>35</v>
      </c>
      <c r="AL1" s="30">
        <v>36</v>
      </c>
      <c r="AM1" s="30">
        <v>37</v>
      </c>
      <c r="AN1" s="30">
        <v>38</v>
      </c>
      <c r="AO1" s="30">
        <v>39</v>
      </c>
      <c r="AP1" s="30">
        <v>40</v>
      </c>
      <c r="AQ1" s="30">
        <v>41</v>
      </c>
      <c r="AR1" s="30">
        <v>42</v>
      </c>
      <c r="AS1" s="30">
        <v>43</v>
      </c>
      <c r="AT1" s="30">
        <v>44</v>
      </c>
      <c r="AU1" s="30">
        <v>45</v>
      </c>
      <c r="AV1" s="30">
        <v>46</v>
      </c>
      <c r="AW1" s="30">
        <v>47</v>
      </c>
      <c r="AX1" s="30">
        <v>48</v>
      </c>
      <c r="AY1" s="30">
        <v>49</v>
      </c>
      <c r="AZ1" s="30">
        <v>50</v>
      </c>
      <c r="BA1" s="30">
        <v>51</v>
      </c>
      <c r="BB1" s="30">
        <v>52</v>
      </c>
      <c r="BC1" s="31">
        <v>53</v>
      </c>
      <c r="BD1" s="31">
        <v>54</v>
      </c>
      <c r="BE1" s="31">
        <v>55</v>
      </c>
      <c r="BF1" s="31">
        <v>56</v>
      </c>
      <c r="BG1" s="31">
        <v>57</v>
      </c>
      <c r="BH1" s="31">
        <v>58</v>
      </c>
      <c r="BI1" s="31">
        <v>59</v>
      </c>
      <c r="BJ1" s="31">
        <v>60</v>
      </c>
      <c r="BK1" s="31">
        <v>61</v>
      </c>
      <c r="BL1" s="31">
        <v>62</v>
      </c>
      <c r="BM1" s="31">
        <v>63</v>
      </c>
      <c r="BN1" s="31">
        <v>64</v>
      </c>
      <c r="BO1" s="31">
        <v>65</v>
      </c>
      <c r="BP1" s="31">
        <v>66</v>
      </c>
      <c r="BQ1" s="31">
        <v>67</v>
      </c>
      <c r="BR1" s="31">
        <v>68</v>
      </c>
      <c r="BS1" s="31">
        <v>69</v>
      </c>
      <c r="BT1" s="31">
        <v>70</v>
      </c>
      <c r="BU1" s="31">
        <v>71</v>
      </c>
      <c r="BV1" s="31">
        <v>72</v>
      </c>
      <c r="BW1" s="30">
        <v>73</v>
      </c>
      <c r="BX1" s="30">
        <v>74</v>
      </c>
      <c r="BY1" s="30">
        <v>75</v>
      </c>
      <c r="BZ1" s="30">
        <v>76</v>
      </c>
      <c r="CA1" s="30">
        <v>77</v>
      </c>
      <c r="CB1" s="30">
        <v>78</v>
      </c>
      <c r="CC1" s="30">
        <v>79</v>
      </c>
      <c r="CD1" s="32">
        <v>80</v>
      </c>
      <c r="CJ1" t="s">
        <v>39</v>
      </c>
      <c r="CK1" t="s">
        <v>163</v>
      </c>
      <c r="CX1">
        <v>0</v>
      </c>
    </row>
    <row r="2" spans="1:104" ht="15.75" thickBot="1" x14ac:dyDescent="0.3">
      <c r="C2" s="16" t="s">
        <v>3</v>
      </c>
      <c r="D2" s="17"/>
      <c r="E2" s="17"/>
      <c r="F2" s="17"/>
      <c r="G2" s="17"/>
      <c r="H2" s="17">
        <v>16</v>
      </c>
      <c r="I2" s="17"/>
      <c r="J2" s="17"/>
      <c r="K2" s="17"/>
      <c r="L2" s="17"/>
      <c r="M2" s="17"/>
      <c r="N2" s="17"/>
      <c r="O2" s="17"/>
      <c r="P2" s="17"/>
      <c r="Q2" s="17"/>
      <c r="R2" s="17"/>
      <c r="S2" s="2" t="s">
        <v>2</v>
      </c>
      <c r="T2" s="4"/>
      <c r="U2" s="207" t="s">
        <v>17</v>
      </c>
      <c r="V2" s="208"/>
      <c r="W2" s="208"/>
      <c r="X2" s="208"/>
      <c r="Y2" s="208"/>
      <c r="Z2" s="209"/>
      <c r="AA2" s="3" t="s">
        <v>4</v>
      </c>
      <c r="AB2" s="13" t="s">
        <v>2</v>
      </c>
      <c r="AC2" s="14"/>
      <c r="AD2" s="16" t="s">
        <v>3</v>
      </c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2" t="s">
        <v>2</v>
      </c>
      <c r="AU2" s="4"/>
      <c r="AV2" s="207" t="s">
        <v>17</v>
      </c>
      <c r="AW2" s="208"/>
      <c r="AX2" s="208"/>
      <c r="AY2" s="208"/>
      <c r="AZ2" s="208"/>
      <c r="BA2" s="209"/>
      <c r="BB2" s="3" t="s">
        <v>4</v>
      </c>
      <c r="BC2" s="26" t="s">
        <v>2</v>
      </c>
      <c r="BD2" s="27"/>
      <c r="BE2" s="26" t="s">
        <v>3</v>
      </c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6" t="s">
        <v>2</v>
      </c>
      <c r="BV2" s="28"/>
      <c r="BW2" s="207" t="s">
        <v>17</v>
      </c>
      <c r="BX2" s="208"/>
      <c r="BY2" s="208"/>
      <c r="BZ2" s="208"/>
      <c r="CA2" s="208"/>
      <c r="CB2" s="209"/>
      <c r="CC2" s="18" t="s">
        <v>4</v>
      </c>
      <c r="CD2" s="20" t="s">
        <v>2</v>
      </c>
      <c r="CE2" s="19"/>
      <c r="CJ2" s="24" t="s">
        <v>12</v>
      </c>
      <c r="CK2" t="s">
        <v>18</v>
      </c>
    </row>
    <row r="3" spans="1:104" ht="15.75" thickBot="1" x14ac:dyDescent="0.3">
      <c r="C3" s="33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9"/>
      <c r="V3" s="30"/>
      <c r="W3" s="30"/>
      <c r="X3" s="30"/>
      <c r="Y3" s="30"/>
      <c r="Z3" s="3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U3" s="22"/>
      <c r="AV3" s="22"/>
      <c r="AW3" s="22"/>
      <c r="AX3" s="22"/>
      <c r="AY3" s="39"/>
      <c r="AZ3" s="22"/>
      <c r="BA3" s="22"/>
      <c r="BB3" s="22"/>
      <c r="BC3" s="34"/>
      <c r="BD3" s="34"/>
      <c r="BE3" s="34"/>
      <c r="BF3" s="34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4"/>
      <c r="BU3" s="34"/>
      <c r="BV3" s="34"/>
      <c r="BW3" s="22"/>
      <c r="BX3" s="22"/>
      <c r="BY3" s="22"/>
      <c r="BZ3" s="39"/>
      <c r="CA3" s="22"/>
      <c r="CB3" s="22"/>
      <c r="CC3" s="22"/>
      <c r="CD3" s="35"/>
      <c r="CH3" s="25"/>
      <c r="CI3" s="25"/>
      <c r="CJ3" s="24" t="s">
        <v>19</v>
      </c>
      <c r="CK3" s="25" t="s">
        <v>20</v>
      </c>
      <c r="CL3" s="25" t="s">
        <v>21</v>
      </c>
      <c r="CM3" s="25"/>
      <c r="CN3" s="25"/>
      <c r="CO3" s="25"/>
    </row>
    <row r="4" spans="1:104" x14ac:dyDescent="0.25">
      <c r="C4" s="33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6">
        <v>0</v>
      </c>
      <c r="V4" s="7"/>
      <c r="W4" s="41" t="s">
        <v>10</v>
      </c>
      <c r="X4" s="41"/>
      <c r="Y4" s="41"/>
      <c r="Z4" s="41"/>
      <c r="AA4" s="7">
        <v>1</v>
      </c>
      <c r="AB4" s="7">
        <v>2</v>
      </c>
      <c r="AC4" s="8">
        <v>3</v>
      </c>
      <c r="AD4" s="7" t="s">
        <v>1</v>
      </c>
      <c r="AE4" s="7">
        <v>4</v>
      </c>
      <c r="AF4" s="9">
        <v>5</v>
      </c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  <c r="BC4" s="34"/>
      <c r="BD4" s="34"/>
      <c r="BE4" s="34"/>
      <c r="BF4" s="34"/>
      <c r="BG4" s="34"/>
      <c r="BH4" s="34"/>
      <c r="BI4" s="34"/>
      <c r="BJ4" s="34"/>
      <c r="BK4" s="34"/>
      <c r="BL4" s="34"/>
      <c r="BM4" s="34"/>
      <c r="BN4" s="34"/>
      <c r="BO4" s="34"/>
      <c r="BP4" s="34"/>
      <c r="BQ4" s="34"/>
      <c r="BR4" s="34"/>
      <c r="BS4" s="34"/>
      <c r="BT4" s="34"/>
      <c r="BU4" s="34"/>
      <c r="BV4" s="34"/>
      <c r="BW4" s="22"/>
      <c r="BX4" s="22"/>
      <c r="BY4" s="22"/>
      <c r="BZ4" s="22"/>
      <c r="CA4" s="22"/>
      <c r="CB4" s="22"/>
      <c r="CC4" s="22"/>
      <c r="CD4" s="35"/>
      <c r="CH4" s="24"/>
      <c r="CI4" s="25"/>
      <c r="CJ4" s="24" t="s">
        <v>19</v>
      </c>
      <c r="CK4" s="25" t="s">
        <v>22</v>
      </c>
      <c r="CL4" s="25" t="s">
        <v>23</v>
      </c>
      <c r="CM4" s="25"/>
      <c r="CN4" s="25"/>
      <c r="CO4" s="25"/>
    </row>
    <row r="5" spans="1:104" x14ac:dyDescent="0.25">
      <c r="C5" s="33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10">
        <v>1</v>
      </c>
      <c r="V5" s="1"/>
      <c r="W5" s="40" t="s">
        <v>9</v>
      </c>
      <c r="X5" s="40"/>
      <c r="Y5" s="40"/>
      <c r="Z5" s="40"/>
      <c r="AA5" s="1">
        <v>1</v>
      </c>
      <c r="AB5" s="1">
        <v>2</v>
      </c>
      <c r="AC5" s="5" t="s">
        <v>1</v>
      </c>
      <c r="AD5" s="1">
        <v>3</v>
      </c>
      <c r="AE5" s="1">
        <v>4</v>
      </c>
      <c r="AF5" s="11">
        <v>5</v>
      </c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34"/>
      <c r="BD5" s="34"/>
      <c r="BE5" s="34"/>
      <c r="BF5" s="34"/>
      <c r="BG5" s="34"/>
      <c r="BH5" s="34"/>
      <c r="BI5" s="34"/>
      <c r="BJ5" s="34"/>
      <c r="BK5" s="34"/>
      <c r="BL5" s="34"/>
      <c r="BM5" s="34"/>
      <c r="BN5" s="34"/>
      <c r="BO5" s="34"/>
      <c r="BP5" s="34"/>
      <c r="BQ5" s="34"/>
      <c r="BR5" s="34"/>
      <c r="BS5" s="34"/>
      <c r="BT5" s="34"/>
      <c r="BU5" s="34"/>
      <c r="BV5" s="34"/>
      <c r="BW5" s="22"/>
      <c r="BX5" s="22"/>
      <c r="BY5" s="22"/>
      <c r="BZ5" s="22"/>
      <c r="CA5" s="22"/>
      <c r="CB5" s="22"/>
      <c r="CC5" s="22"/>
      <c r="CD5" s="35"/>
      <c r="CH5" s="24"/>
      <c r="CI5" s="25"/>
      <c r="CJ5" s="24" t="s">
        <v>24</v>
      </c>
      <c r="CK5" s="25" t="s">
        <v>25</v>
      </c>
      <c r="CL5" s="25"/>
      <c r="CM5" s="25"/>
      <c r="CN5" s="25"/>
      <c r="CO5" s="25"/>
    </row>
    <row r="6" spans="1:104" x14ac:dyDescent="0.25">
      <c r="C6" s="33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10">
        <v>2</v>
      </c>
      <c r="V6" s="1"/>
      <c r="W6" s="40" t="s">
        <v>185</v>
      </c>
      <c r="X6" s="40"/>
      <c r="Y6" s="40"/>
      <c r="Z6" s="40"/>
      <c r="AA6" s="1">
        <v>1</v>
      </c>
      <c r="AB6" s="1">
        <v>2</v>
      </c>
      <c r="AC6" s="1">
        <v>3</v>
      </c>
      <c r="AD6" s="5">
        <v>4</v>
      </c>
      <c r="AE6" s="1" t="s">
        <v>1</v>
      </c>
      <c r="AF6" s="11">
        <v>5</v>
      </c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34"/>
      <c r="BD6" s="34"/>
      <c r="BE6" s="34"/>
      <c r="BF6" s="34"/>
      <c r="BG6" s="34"/>
      <c r="BH6" s="34"/>
      <c r="BI6" s="34"/>
      <c r="BJ6" s="34"/>
      <c r="BK6" s="34"/>
      <c r="BL6" s="34"/>
      <c r="BM6" s="34"/>
      <c r="BN6" s="34"/>
      <c r="BO6" s="34"/>
      <c r="BP6" s="34"/>
      <c r="BQ6" s="34"/>
      <c r="BR6" s="34"/>
      <c r="BS6" s="34"/>
      <c r="BT6" s="34"/>
      <c r="BU6" s="34"/>
      <c r="BV6" s="34"/>
      <c r="BW6" s="22"/>
      <c r="BX6" s="22"/>
      <c r="BY6" s="22"/>
      <c r="BZ6" s="22"/>
      <c r="CA6" s="22"/>
      <c r="CB6" s="22"/>
      <c r="CC6" s="22"/>
      <c r="CD6" s="35"/>
      <c r="CH6" s="24"/>
      <c r="CI6" s="25"/>
      <c r="CJ6" s="25" t="s">
        <v>19</v>
      </c>
      <c r="CK6" s="25" t="s">
        <v>26</v>
      </c>
      <c r="CL6" s="25"/>
      <c r="CM6" s="25"/>
      <c r="CN6" s="25"/>
      <c r="CO6" s="25"/>
    </row>
    <row r="7" spans="1:104" x14ac:dyDescent="0.25">
      <c r="C7" s="33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10">
        <v>3</v>
      </c>
      <c r="V7" s="1"/>
      <c r="W7" s="40" t="s">
        <v>11</v>
      </c>
      <c r="X7" s="40"/>
      <c r="Y7" s="40"/>
      <c r="Z7" s="40"/>
      <c r="AA7" s="1">
        <v>1</v>
      </c>
      <c r="AB7" s="1">
        <v>2</v>
      </c>
      <c r="AC7" s="1">
        <v>3</v>
      </c>
      <c r="AD7" s="1">
        <v>4</v>
      </c>
      <c r="AE7" s="1">
        <v>5</v>
      </c>
      <c r="AF7" s="11">
        <v>6</v>
      </c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34"/>
      <c r="BD7" s="34"/>
      <c r="BE7" s="34"/>
      <c r="BF7" s="34"/>
      <c r="BG7" s="34"/>
      <c r="BH7" s="34"/>
      <c r="BI7" s="34"/>
      <c r="BJ7" s="34"/>
      <c r="BK7" s="34"/>
      <c r="BL7" s="34"/>
      <c r="BM7" s="34"/>
      <c r="BN7" s="34"/>
      <c r="BO7" s="34"/>
      <c r="BP7" s="34"/>
      <c r="BQ7" s="34"/>
      <c r="BR7" s="34"/>
      <c r="BS7" s="34"/>
      <c r="BT7" s="34"/>
      <c r="BU7" s="34"/>
      <c r="BV7" s="34"/>
      <c r="BW7" s="22"/>
      <c r="BX7" s="22"/>
      <c r="BY7" s="22"/>
      <c r="BZ7" s="22"/>
      <c r="CA7" s="22"/>
      <c r="CB7" s="22"/>
      <c r="CC7" s="22"/>
      <c r="CD7" s="35"/>
      <c r="CH7" s="24"/>
      <c r="CI7" s="25"/>
      <c r="CJ7" s="24" t="s">
        <v>19</v>
      </c>
      <c r="CK7" s="25" t="s">
        <v>27</v>
      </c>
      <c r="CL7" s="25" t="s">
        <v>21</v>
      </c>
      <c r="CM7" s="25"/>
      <c r="CN7" s="25"/>
      <c r="CO7" s="25"/>
    </row>
    <row r="8" spans="1:104" ht="15.75" thickBot="1" x14ac:dyDescent="0.3">
      <c r="C8" s="33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43">
        <v>4</v>
      </c>
      <c r="V8" s="12"/>
      <c r="W8" s="12"/>
      <c r="X8" s="12"/>
      <c r="Y8" s="12"/>
      <c r="Z8" s="12"/>
      <c r="AA8" s="210" t="s">
        <v>30</v>
      </c>
      <c r="AB8" s="210"/>
      <c r="AC8" s="210"/>
      <c r="AD8" s="210"/>
      <c r="AE8" s="210"/>
      <c r="AF8" s="211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34"/>
      <c r="BD8" s="34"/>
      <c r="BE8" s="34"/>
      <c r="BF8" s="34"/>
      <c r="BG8" s="34"/>
      <c r="BH8" s="34"/>
      <c r="BI8" s="34"/>
      <c r="BJ8" s="34"/>
      <c r="BK8" s="34"/>
      <c r="BL8" s="34"/>
      <c r="BM8" s="34"/>
      <c r="BN8" s="34"/>
      <c r="BO8" s="34"/>
      <c r="BP8" s="34"/>
      <c r="BQ8" s="34"/>
      <c r="BR8" s="34"/>
      <c r="BS8" s="34"/>
      <c r="BT8" s="34"/>
      <c r="BU8" s="34"/>
      <c r="BV8" s="34"/>
      <c r="BW8" s="22"/>
      <c r="BX8" s="22"/>
      <c r="BY8" s="22"/>
      <c r="BZ8" s="22"/>
      <c r="CA8" s="22"/>
      <c r="CB8" s="22"/>
      <c r="CC8" s="22"/>
      <c r="CD8" s="35"/>
      <c r="CH8" s="24"/>
      <c r="CI8" s="25"/>
      <c r="CJ8" s="24" t="s">
        <v>19</v>
      </c>
      <c r="CK8" s="25" t="s">
        <v>28</v>
      </c>
      <c r="CL8" s="25" t="s">
        <v>23</v>
      </c>
      <c r="CM8" s="25"/>
      <c r="CN8" s="25"/>
      <c r="CO8" s="25"/>
    </row>
    <row r="9" spans="1:104" ht="15.75" thickBot="1" x14ac:dyDescent="0.3">
      <c r="C9" s="33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34"/>
      <c r="BT9" s="34"/>
      <c r="BU9" s="34"/>
      <c r="BV9" s="34"/>
      <c r="BW9" s="22"/>
      <c r="BX9" s="22"/>
      <c r="BY9" s="22"/>
      <c r="BZ9" s="22"/>
      <c r="CA9" s="22"/>
      <c r="CB9" s="22"/>
      <c r="CC9" s="22"/>
      <c r="CD9" s="35"/>
      <c r="CH9" s="24"/>
      <c r="CI9" s="25"/>
      <c r="CJ9" t="s">
        <v>12</v>
      </c>
      <c r="CK9" s="25" t="s">
        <v>13</v>
      </c>
      <c r="CL9" s="25"/>
      <c r="CM9" s="25"/>
      <c r="CN9" s="25"/>
      <c r="CO9" s="25"/>
    </row>
    <row r="10" spans="1:104" ht="15.75" thickBot="1" x14ac:dyDescent="0.3">
      <c r="C10" s="33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07" t="s">
        <v>7</v>
      </c>
      <c r="V10" s="208"/>
      <c r="W10" s="208"/>
      <c r="X10" s="208"/>
      <c r="Y10" s="208"/>
      <c r="Z10" s="209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07" t="s">
        <v>7</v>
      </c>
      <c r="AW10" s="208"/>
      <c r="AX10" s="208"/>
      <c r="AY10" s="208"/>
      <c r="AZ10" s="208"/>
      <c r="BA10" s="209"/>
      <c r="BB10" s="22"/>
      <c r="BC10" s="34"/>
      <c r="BD10" s="34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07" t="s">
        <v>7</v>
      </c>
      <c r="BX10" s="208"/>
      <c r="BY10" s="208"/>
      <c r="BZ10" s="208"/>
      <c r="CA10" s="208"/>
      <c r="CB10" s="209"/>
      <c r="CC10" s="22"/>
      <c r="CD10" s="35"/>
      <c r="CH10" s="24"/>
      <c r="CI10" s="25"/>
      <c r="CK10" s="25"/>
      <c r="CL10" s="25"/>
      <c r="CM10" s="25"/>
      <c r="CN10" s="25"/>
      <c r="CO10" s="25"/>
    </row>
    <row r="11" spans="1:104" ht="25.5" thickBot="1" x14ac:dyDescent="0.3">
      <c r="C11" s="207" t="s">
        <v>5</v>
      </c>
      <c r="D11" s="208"/>
      <c r="E11" s="208"/>
      <c r="F11" s="208"/>
      <c r="G11" s="208"/>
      <c r="H11" s="208"/>
      <c r="I11" s="208"/>
      <c r="J11" s="208"/>
      <c r="K11" s="208"/>
      <c r="L11" s="208"/>
      <c r="M11" s="208"/>
      <c r="N11" s="208"/>
      <c r="O11" s="208"/>
      <c r="P11" s="208"/>
      <c r="Q11" s="208"/>
      <c r="R11" s="209"/>
      <c r="S11" s="36"/>
      <c r="T11" s="36"/>
      <c r="U11" s="207" t="s">
        <v>6</v>
      </c>
      <c r="V11" s="208"/>
      <c r="W11" s="208"/>
      <c r="X11" s="208"/>
      <c r="Y11" s="208"/>
      <c r="Z11" s="209"/>
      <c r="AA11" s="23" t="s">
        <v>4</v>
      </c>
      <c r="AB11" s="36"/>
      <c r="AC11" s="36"/>
      <c r="AD11" s="207" t="s">
        <v>5</v>
      </c>
      <c r="AE11" s="208"/>
      <c r="AF11" s="208"/>
      <c r="AG11" s="208"/>
      <c r="AH11" s="208"/>
      <c r="AI11" s="208"/>
      <c r="AJ11" s="208"/>
      <c r="AK11" s="208"/>
      <c r="AL11" s="208"/>
      <c r="AM11" s="208"/>
      <c r="AN11" s="208"/>
      <c r="AO11" s="208"/>
      <c r="AP11" s="208"/>
      <c r="AQ11" s="208"/>
      <c r="AR11" s="208"/>
      <c r="AS11" s="209"/>
      <c r="AT11" s="36"/>
      <c r="AU11" s="36"/>
      <c r="AV11" s="207" t="s">
        <v>6</v>
      </c>
      <c r="AW11" s="208"/>
      <c r="AX11" s="208"/>
      <c r="AY11" s="208"/>
      <c r="AZ11" s="208"/>
      <c r="BA11" s="209"/>
      <c r="BB11" s="23" t="s">
        <v>4</v>
      </c>
      <c r="BC11" s="37"/>
      <c r="BD11" s="37"/>
      <c r="BE11" s="207" t="s">
        <v>5</v>
      </c>
      <c r="BF11" s="208"/>
      <c r="BG11" s="208"/>
      <c r="BH11" s="208"/>
      <c r="BI11" s="208"/>
      <c r="BJ11" s="208"/>
      <c r="BK11" s="208"/>
      <c r="BL11" s="208"/>
      <c r="BM11" s="208"/>
      <c r="BN11" s="208"/>
      <c r="BO11" s="208"/>
      <c r="BP11" s="208"/>
      <c r="BQ11" s="208"/>
      <c r="BR11" s="208"/>
      <c r="BS11" s="208"/>
      <c r="BT11" s="209"/>
      <c r="BU11" s="36"/>
      <c r="BV11" s="36"/>
      <c r="BW11" s="207" t="s">
        <v>6</v>
      </c>
      <c r="BX11" s="208"/>
      <c r="BY11" s="208"/>
      <c r="BZ11" s="208"/>
      <c r="CA11" s="208"/>
      <c r="CB11" s="209"/>
      <c r="CC11" s="23" t="s">
        <v>4</v>
      </c>
      <c r="CD11" s="38"/>
      <c r="CH11" s="24"/>
      <c r="CJ11" s="25"/>
    </row>
    <row r="12" spans="1:104" x14ac:dyDescent="0.25"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76">
        <v>2</v>
      </c>
      <c r="R12" s="76"/>
      <c r="U12" s="21"/>
      <c r="V12" s="21"/>
      <c r="W12" s="21"/>
      <c r="X12" s="21"/>
      <c r="Y12" s="21"/>
      <c r="Z12" s="21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</row>
    <row r="13" spans="1:104" ht="15.75" thickBot="1" x14ac:dyDescent="0.3">
      <c r="B13" t="s">
        <v>39</v>
      </c>
      <c r="C13">
        <v>1</v>
      </c>
      <c r="H13">
        <v>16</v>
      </c>
      <c r="J13">
        <v>19</v>
      </c>
      <c r="M13">
        <v>24</v>
      </c>
      <c r="O13" t="s">
        <v>7</v>
      </c>
      <c r="R13">
        <v>25</v>
      </c>
      <c r="T13" t="s">
        <v>39</v>
      </c>
      <c r="U13">
        <v>28</v>
      </c>
      <c r="Z13">
        <v>43</v>
      </c>
      <c r="AB13">
        <v>46</v>
      </c>
      <c r="AE13">
        <v>51</v>
      </c>
      <c r="AG13" t="s">
        <v>7</v>
      </c>
      <c r="AJ13">
        <v>52</v>
      </c>
      <c r="AL13" t="s">
        <v>39</v>
      </c>
      <c r="AM13">
        <v>55</v>
      </c>
      <c r="AR13">
        <v>70</v>
      </c>
      <c r="AT13">
        <v>73</v>
      </c>
      <c r="AW13">
        <v>78</v>
      </c>
      <c r="AY13" t="s">
        <v>7</v>
      </c>
      <c r="BB13">
        <v>79</v>
      </c>
      <c r="BC13" s="25"/>
      <c r="BD13" s="25"/>
      <c r="BE13" s="25"/>
      <c r="BF13" s="25"/>
      <c r="BG13" s="25"/>
      <c r="BH13" s="25"/>
      <c r="BI13" s="25"/>
      <c r="BJ13" s="25" t="s">
        <v>180</v>
      </c>
      <c r="BK13" s="25"/>
      <c r="BO13" s="25"/>
      <c r="BP13" s="25"/>
      <c r="BQ13" s="25"/>
      <c r="BR13" s="25"/>
      <c r="BS13" s="25"/>
      <c r="BT13" s="25"/>
      <c r="BU13" s="25"/>
    </row>
    <row r="14" spans="1:104" x14ac:dyDescent="0.25">
      <c r="A14">
        <v>1</v>
      </c>
      <c r="B14" s="29" t="str">
        <f>SUBSTITUTE(PROPER(C14)," ","")</f>
        <v>Port_Exp_0</v>
      </c>
      <c r="C14" s="212" t="s">
        <v>281</v>
      </c>
      <c r="D14" s="212"/>
      <c r="E14" s="212"/>
      <c r="F14" s="212"/>
      <c r="G14" s="212"/>
      <c r="H14" s="212"/>
      <c r="I14" s="30"/>
      <c r="J14" s="213">
        <v>0</v>
      </c>
      <c r="K14" s="214"/>
      <c r="L14" s="214"/>
      <c r="M14" s="215"/>
      <c r="N14" s="30"/>
      <c r="O14" s="15">
        <v>3</v>
      </c>
      <c r="P14" s="52"/>
      <c r="Q14" s="30"/>
      <c r="R14" s="1" t="s">
        <v>283</v>
      </c>
      <c r="S14" s="30"/>
      <c r="T14" s="29" t="str">
        <f t="shared" ref="T14:T37" si="0">SUBSTITUTE(PROPER(U14)," ","")</f>
        <v/>
      </c>
      <c r="U14" s="216"/>
      <c r="V14" s="216"/>
      <c r="W14" s="216"/>
      <c r="X14" s="216"/>
      <c r="Y14" s="216"/>
      <c r="Z14" s="216"/>
      <c r="AA14" s="30"/>
      <c r="AB14" s="213">
        <v>0</v>
      </c>
      <c r="AC14" s="214"/>
      <c r="AD14" s="214"/>
      <c r="AE14" s="215"/>
      <c r="AF14" s="30"/>
      <c r="AG14" s="51">
        <v>0</v>
      </c>
      <c r="AH14" s="52"/>
      <c r="AI14" s="30"/>
      <c r="AJ14" s="9" t="s">
        <v>14</v>
      </c>
      <c r="AK14" s="30"/>
      <c r="AL14" s="29" t="str">
        <f>SUBSTITUTE(PROPER(AM14)," ","")</f>
        <v/>
      </c>
      <c r="AM14" s="217"/>
      <c r="AN14" s="217"/>
      <c r="AO14" s="217"/>
      <c r="AP14" s="217"/>
      <c r="AQ14" s="217"/>
      <c r="AR14" s="217"/>
      <c r="AS14" s="30"/>
      <c r="AT14" s="213">
        <v>0</v>
      </c>
      <c r="AU14" s="214"/>
      <c r="AV14" s="214"/>
      <c r="AW14" s="215"/>
      <c r="AX14" s="30"/>
      <c r="AY14" s="51">
        <v>1</v>
      </c>
      <c r="AZ14" s="52"/>
      <c r="BA14" s="30"/>
      <c r="BB14" s="9" t="s">
        <v>14</v>
      </c>
      <c r="BC14" s="31"/>
      <c r="BD14" s="31">
        <f>LEN(C20)</f>
        <v>0</v>
      </c>
      <c r="BE14" s="31">
        <f t="shared" ref="BE14:BE37" si="1">LEN(U15)</f>
        <v>0</v>
      </c>
      <c r="BF14" s="56">
        <f>LEN(AM14)</f>
        <v>0</v>
      </c>
      <c r="BG14" s="25"/>
      <c r="BH14" s="25"/>
      <c r="BI14" s="25"/>
      <c r="BJ14" s="61" t="str">
        <f>("{"&amp;B14&amp;", "&amp;""""&amp;C14&amp;""""&amp;", "&amp;A14&amp;", "&amp;$C$13&amp;", "&amp;0&amp;", "&amp;O14&amp;", "&amp;A14&amp;", "&amp;$J$13&amp;","&amp;""""&amp;R14&amp;""""&amp;"},")</f>
        <v>{Port_Exp_0, "Port_exp_0", 1, 1, 0, 3, 1, 19,"S"},</v>
      </c>
      <c r="BK14" s="31"/>
      <c r="BL14" s="30"/>
      <c r="BM14" s="30"/>
      <c r="BN14" s="31"/>
      <c r="BO14" s="31"/>
      <c r="BP14" s="31"/>
      <c r="BQ14" s="31"/>
      <c r="BR14" s="31"/>
      <c r="BS14" s="31"/>
      <c r="BT14" s="31"/>
      <c r="BU14" s="31"/>
      <c r="BV14" s="31"/>
      <c r="BW14" s="30"/>
      <c r="BX14" s="30"/>
      <c r="BY14" s="30"/>
      <c r="BZ14" s="31"/>
      <c r="CA14" s="30"/>
      <c r="CB14" s="31" t="str">
        <f t="shared" ref="CB14:CB37" si="2">("{"&amp;T14&amp;", "&amp;""""&amp;U14&amp;""""&amp;", "&amp;A14&amp;", "&amp;$U$13&amp;", "&amp;0&amp;", "&amp;AG14&amp;", "&amp;A14&amp;", "&amp;$AB$13&amp;","&amp;""""&amp;AJ14&amp;""""&amp;"},")</f>
        <v>{, "", 1, 28, 0, 0, 1, 46,"V"},</v>
      </c>
      <c r="CC14" s="30"/>
      <c r="CD14" s="30"/>
      <c r="CE14" s="30"/>
      <c r="CF14" s="30"/>
      <c r="CG14" s="30"/>
      <c r="CH14" s="30"/>
      <c r="CI14" s="30"/>
      <c r="CJ14" s="30"/>
      <c r="CK14" s="30"/>
      <c r="CL14" s="30"/>
      <c r="CM14" s="30"/>
      <c r="CN14" s="30"/>
      <c r="CO14" s="31" t="str">
        <f t="shared" ref="CO14:CO37" si="3">("{"&amp;AL14&amp;", "&amp;""""&amp;AM14&amp;""""&amp;", "&amp;A14&amp;", "&amp;$AM$13&amp;", "&amp;0&amp;", "&amp;AY14&amp;", "&amp;A14&amp;", "&amp;$AT$13&amp;","&amp;""""&amp;BB14&amp;""""&amp;"},")</f>
        <v>{, "", 1, 55, 0, 1, 1, 73,"V"},</v>
      </c>
      <c r="CP14" s="30"/>
      <c r="CQ14" s="30"/>
      <c r="CR14" s="30"/>
      <c r="CS14" s="30"/>
      <c r="CT14" s="30"/>
      <c r="CU14" s="30"/>
      <c r="CV14" s="30"/>
      <c r="CW14" s="30"/>
      <c r="CX14" s="30"/>
      <c r="CY14" s="30"/>
      <c r="CZ14" s="32"/>
    </row>
    <row r="15" spans="1:104" x14ac:dyDescent="0.25">
      <c r="A15">
        <v>2</v>
      </c>
      <c r="B15" s="33" t="str">
        <f t="shared" ref="B15:B36" si="4">SUBSTITUTE(PROPER(C15)," ","")</f>
        <v>Port_Exp_1</v>
      </c>
      <c r="C15" s="212" t="s">
        <v>282</v>
      </c>
      <c r="D15" s="212"/>
      <c r="E15" s="212"/>
      <c r="F15" s="212"/>
      <c r="G15" s="212"/>
      <c r="H15" s="212"/>
      <c r="I15" s="22"/>
      <c r="J15" s="218">
        <v>0</v>
      </c>
      <c r="K15" s="219"/>
      <c r="L15" s="219"/>
      <c r="M15" s="220"/>
      <c r="N15" s="22"/>
      <c r="O15" s="15">
        <v>3</v>
      </c>
      <c r="P15" s="21"/>
      <c r="Q15" s="22"/>
      <c r="R15" s="1" t="s">
        <v>283</v>
      </c>
      <c r="S15" s="22"/>
      <c r="T15" s="33" t="str">
        <f t="shared" si="0"/>
        <v/>
      </c>
      <c r="U15" s="221"/>
      <c r="V15" s="221"/>
      <c r="W15" s="221"/>
      <c r="X15" s="221"/>
      <c r="Y15" s="221"/>
      <c r="Z15" s="221"/>
      <c r="AA15" s="22"/>
      <c r="AB15" s="218">
        <v>0</v>
      </c>
      <c r="AC15" s="219"/>
      <c r="AD15" s="219"/>
      <c r="AE15" s="220"/>
      <c r="AF15" s="22"/>
      <c r="AG15" s="15">
        <v>0</v>
      </c>
      <c r="AH15" s="21"/>
      <c r="AI15" s="22"/>
      <c r="AJ15" s="11" t="s">
        <v>14</v>
      </c>
      <c r="AK15" s="22"/>
      <c r="AL15" s="33" t="str">
        <f t="shared" ref="AL15:AL37" si="5">SUBSTITUTE(PROPER(AM15)," ","")</f>
        <v/>
      </c>
      <c r="AM15" s="222"/>
      <c r="AN15" s="222"/>
      <c r="AO15" s="222"/>
      <c r="AP15" s="222"/>
      <c r="AQ15" s="222"/>
      <c r="AR15" s="222"/>
      <c r="AS15" s="22"/>
      <c r="AT15" s="218">
        <v>0</v>
      </c>
      <c r="AU15" s="219"/>
      <c r="AV15" s="219"/>
      <c r="AW15" s="220"/>
      <c r="AX15" s="22"/>
      <c r="AY15" s="15">
        <v>0</v>
      </c>
      <c r="AZ15" s="21"/>
      <c r="BA15" s="22"/>
      <c r="BB15" s="11" t="s">
        <v>0</v>
      </c>
      <c r="BC15" s="34"/>
      <c r="BD15" s="34">
        <f>LEN(C21)</f>
        <v>0</v>
      </c>
      <c r="BE15" s="34">
        <f t="shared" si="1"/>
        <v>0</v>
      </c>
      <c r="BF15" s="57">
        <f t="shared" ref="BF15:BF37" si="6">LEN(AM15)</f>
        <v>0</v>
      </c>
      <c r="BG15" s="25"/>
      <c r="BH15" s="25"/>
      <c r="BI15" s="25"/>
      <c r="BJ15" s="62" t="str">
        <f>("{"&amp;B15&amp;", "&amp;""""&amp;C15&amp;""""&amp;", "&amp;A15&amp;", "&amp;$C$13&amp;", "&amp;0&amp;", "&amp;O15&amp;", "&amp;A15&amp;", "&amp;$J$13&amp;","&amp;""""&amp;R15&amp;""""&amp;"},")</f>
        <v>{Port_Exp_1, "Port_exp_1", 2, 1, 0, 3, 2, 19,"S"},</v>
      </c>
      <c r="BK15" s="34"/>
      <c r="BL15" s="22"/>
      <c r="BM15" s="22"/>
      <c r="BN15" s="34"/>
      <c r="BO15" s="34"/>
      <c r="BP15" s="34"/>
      <c r="BQ15" s="34"/>
      <c r="BR15" s="34"/>
      <c r="BS15" s="34"/>
      <c r="BT15" s="34"/>
      <c r="BU15" s="34"/>
      <c r="BV15" s="34"/>
      <c r="BW15" s="22"/>
      <c r="BX15" s="22"/>
      <c r="BY15" s="22"/>
      <c r="BZ15" s="34"/>
      <c r="CA15" s="22"/>
      <c r="CB15" s="34" t="str">
        <f t="shared" si="2"/>
        <v>{, "", 2, 28, 0, 0, 2, 46,"V"},</v>
      </c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34" t="str">
        <f t="shared" si="3"/>
        <v>{, "", 2, 55, 0, 0, 2, 73,"A"},</v>
      </c>
      <c r="CP15" s="22"/>
      <c r="CQ15" s="22"/>
      <c r="CR15" s="22"/>
      <c r="CS15" s="22"/>
      <c r="CT15" s="22"/>
      <c r="CU15" s="22"/>
      <c r="CV15" s="22"/>
      <c r="CW15" s="22"/>
      <c r="CX15" s="22"/>
      <c r="CY15" s="22"/>
      <c r="CZ15" s="35"/>
    </row>
    <row r="16" spans="1:104" x14ac:dyDescent="0.25">
      <c r="A16">
        <v>3</v>
      </c>
      <c r="B16" s="33" t="str">
        <f t="shared" si="4"/>
        <v/>
      </c>
      <c r="C16" s="212"/>
      <c r="D16" s="212"/>
      <c r="E16" s="212"/>
      <c r="F16" s="212"/>
      <c r="G16" s="212"/>
      <c r="H16" s="212"/>
      <c r="I16" s="22"/>
      <c r="J16" s="218">
        <v>0</v>
      </c>
      <c r="K16" s="219"/>
      <c r="L16" s="219"/>
      <c r="M16" s="220"/>
      <c r="N16" s="22"/>
      <c r="O16" s="15">
        <v>1</v>
      </c>
      <c r="P16" s="21"/>
      <c r="Q16" s="22"/>
      <c r="R16" s="1" t="s">
        <v>14</v>
      </c>
      <c r="S16" s="22"/>
      <c r="T16" s="33" t="str">
        <f t="shared" si="0"/>
        <v/>
      </c>
      <c r="U16" s="221"/>
      <c r="V16" s="221"/>
      <c r="W16" s="221"/>
      <c r="X16" s="221"/>
      <c r="Y16" s="221"/>
      <c r="Z16" s="221"/>
      <c r="AA16" s="22"/>
      <c r="AB16" s="218">
        <v>0</v>
      </c>
      <c r="AC16" s="219"/>
      <c r="AD16" s="219"/>
      <c r="AE16" s="220"/>
      <c r="AF16" s="22"/>
      <c r="AG16" s="15">
        <v>0</v>
      </c>
      <c r="AH16" s="21"/>
      <c r="AI16" s="22"/>
      <c r="AJ16" s="11" t="s">
        <v>14</v>
      </c>
      <c r="AK16" s="22"/>
      <c r="AL16" s="33" t="str">
        <f t="shared" si="5"/>
        <v/>
      </c>
      <c r="AM16" s="222"/>
      <c r="AN16" s="222"/>
      <c r="AO16" s="222"/>
      <c r="AP16" s="222"/>
      <c r="AQ16" s="222"/>
      <c r="AR16" s="222"/>
      <c r="AS16" s="22"/>
      <c r="AT16" s="218">
        <v>0</v>
      </c>
      <c r="AU16" s="219"/>
      <c r="AV16" s="219"/>
      <c r="AW16" s="220"/>
      <c r="AX16" s="22"/>
      <c r="AY16" s="15">
        <v>0</v>
      </c>
      <c r="AZ16" s="21"/>
      <c r="BA16" s="22"/>
      <c r="BB16" s="11" t="s">
        <v>14</v>
      </c>
      <c r="BC16" s="34"/>
      <c r="BD16" s="34">
        <f>LEN(C22)</f>
        <v>0</v>
      </c>
      <c r="BE16" s="34">
        <f t="shared" si="1"/>
        <v>0</v>
      </c>
      <c r="BF16" s="57">
        <f t="shared" si="6"/>
        <v>0</v>
      </c>
      <c r="BG16" s="25"/>
      <c r="BH16" s="25"/>
      <c r="BI16" s="25"/>
      <c r="BJ16" s="62" t="str">
        <f t="shared" ref="BJ16:BJ37" si="7">("{"&amp;B16&amp;", "&amp;""""&amp;C16&amp;""""&amp;", "&amp;A16&amp;", "&amp;$C$13&amp;", "&amp;0&amp;", "&amp;O16&amp;", "&amp;A16&amp;", "&amp;$J$13&amp;","&amp;""""&amp;R16&amp;""""&amp;"},")</f>
        <v>{, "", 3, 1, 0, 1, 3, 19,"V"},</v>
      </c>
      <c r="BK16" s="34"/>
      <c r="BL16" s="22"/>
      <c r="BM16" s="22"/>
      <c r="BN16" s="34"/>
      <c r="BO16" s="34"/>
      <c r="BP16" s="34"/>
      <c r="BQ16" s="34"/>
      <c r="BR16" s="34"/>
      <c r="BS16" s="34"/>
      <c r="BT16" s="34"/>
      <c r="BU16" s="34"/>
      <c r="BV16" s="34"/>
      <c r="BW16" s="22"/>
      <c r="BX16" s="22"/>
      <c r="BY16" s="22"/>
      <c r="BZ16" s="34"/>
      <c r="CA16" s="22"/>
      <c r="CB16" s="34" t="str">
        <f t="shared" si="2"/>
        <v>{, "", 3, 28, 0, 0, 3, 46,"V"},</v>
      </c>
      <c r="CC16" s="22"/>
      <c r="CD16" s="22"/>
      <c r="CE16" s="22"/>
      <c r="CF16" s="22"/>
      <c r="CG16" s="22"/>
      <c r="CH16" s="22"/>
      <c r="CI16" s="22"/>
      <c r="CJ16" s="22"/>
      <c r="CK16" s="22"/>
      <c r="CL16" s="22"/>
      <c r="CM16" s="22"/>
      <c r="CN16" s="22"/>
      <c r="CO16" s="34" t="str">
        <f t="shared" si="3"/>
        <v>{, "", 3, 55, 0, 0, 3, 73,"V"},</v>
      </c>
      <c r="CP16" s="22"/>
      <c r="CQ16" s="22"/>
      <c r="CR16" s="22"/>
      <c r="CS16" s="22"/>
      <c r="CT16" s="22"/>
      <c r="CU16" s="22"/>
      <c r="CV16" s="22"/>
      <c r="CW16" s="22"/>
      <c r="CX16" s="22"/>
      <c r="CY16" s="22"/>
      <c r="CZ16" s="35"/>
    </row>
    <row r="17" spans="1:104" x14ac:dyDescent="0.25">
      <c r="A17">
        <v>4</v>
      </c>
      <c r="B17" s="33" t="str">
        <f t="shared" si="4"/>
        <v/>
      </c>
      <c r="C17" s="212"/>
      <c r="D17" s="212"/>
      <c r="E17" s="212"/>
      <c r="F17" s="212"/>
      <c r="G17" s="212"/>
      <c r="H17" s="212"/>
      <c r="I17" s="22"/>
      <c r="J17" s="218">
        <v>0</v>
      </c>
      <c r="K17" s="219"/>
      <c r="L17" s="219"/>
      <c r="M17" s="220"/>
      <c r="N17" s="22"/>
      <c r="O17" s="15">
        <v>1</v>
      </c>
      <c r="P17" s="21"/>
      <c r="Q17" s="22"/>
      <c r="R17" s="1" t="s">
        <v>14</v>
      </c>
      <c r="S17" s="22"/>
      <c r="T17" s="33" t="str">
        <f t="shared" si="0"/>
        <v/>
      </c>
      <c r="U17" s="221"/>
      <c r="V17" s="221"/>
      <c r="W17" s="221"/>
      <c r="X17" s="221"/>
      <c r="Y17" s="221"/>
      <c r="Z17" s="221"/>
      <c r="AA17" s="22"/>
      <c r="AB17" s="218">
        <v>0</v>
      </c>
      <c r="AC17" s="219"/>
      <c r="AD17" s="219"/>
      <c r="AE17" s="220"/>
      <c r="AF17" s="22"/>
      <c r="AG17" s="15">
        <v>0</v>
      </c>
      <c r="AH17" s="21"/>
      <c r="AI17" s="22"/>
      <c r="AJ17" s="11" t="s">
        <v>0</v>
      </c>
      <c r="AK17" s="22"/>
      <c r="AL17" s="33" t="str">
        <f t="shared" si="5"/>
        <v/>
      </c>
      <c r="AM17" s="222"/>
      <c r="AN17" s="222"/>
      <c r="AO17" s="222"/>
      <c r="AP17" s="222"/>
      <c r="AQ17" s="222"/>
      <c r="AR17" s="222"/>
      <c r="AS17" s="22"/>
      <c r="AT17" s="218">
        <v>0</v>
      </c>
      <c r="AU17" s="219"/>
      <c r="AV17" s="219"/>
      <c r="AW17" s="220"/>
      <c r="AX17" s="22"/>
      <c r="AY17" s="15">
        <v>0</v>
      </c>
      <c r="AZ17" s="21"/>
      <c r="BA17" s="22"/>
      <c r="BB17" s="11" t="s">
        <v>14</v>
      </c>
      <c r="BC17" s="34"/>
      <c r="BD17" s="34">
        <f t="shared" ref="BD17:BD22" si="8">LEN(C14)</f>
        <v>10</v>
      </c>
      <c r="BE17" s="34">
        <f t="shared" si="1"/>
        <v>0</v>
      </c>
      <c r="BF17" s="57">
        <f t="shared" si="6"/>
        <v>0</v>
      </c>
      <c r="BG17" s="25"/>
      <c r="BH17" s="25"/>
      <c r="BI17" s="25"/>
      <c r="BJ17" s="62" t="str">
        <f t="shared" si="7"/>
        <v>{, "", 4, 1, 0, 1, 4, 19,"V"},</v>
      </c>
      <c r="BK17" s="34"/>
      <c r="BL17" s="22"/>
      <c r="BM17" s="22"/>
      <c r="BN17" s="34"/>
      <c r="BO17" s="34"/>
      <c r="BP17" s="34"/>
      <c r="BQ17" s="34"/>
      <c r="BR17" s="34"/>
      <c r="BS17" s="34"/>
      <c r="BT17" s="34"/>
      <c r="BU17" s="34"/>
      <c r="BV17" s="34"/>
      <c r="BW17" s="22"/>
      <c r="BX17" s="22"/>
      <c r="BY17" s="22"/>
      <c r="BZ17" s="34"/>
      <c r="CA17" s="22"/>
      <c r="CB17" s="34" t="str">
        <f t="shared" si="2"/>
        <v>{, "", 4, 28, 0, 0, 4, 46,"A"},</v>
      </c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34" t="str">
        <f t="shared" si="3"/>
        <v>{, "", 4, 55, 0, 0, 4, 73,"V"},</v>
      </c>
      <c r="CP17" s="22"/>
      <c r="CQ17" s="22"/>
      <c r="CR17" s="22"/>
      <c r="CS17" s="22"/>
      <c r="CT17" s="22"/>
      <c r="CU17" s="22"/>
      <c r="CV17" s="22"/>
      <c r="CW17" s="22"/>
      <c r="CX17" s="22"/>
      <c r="CY17" s="22"/>
      <c r="CZ17" s="35"/>
    </row>
    <row r="18" spans="1:104" x14ac:dyDescent="0.25">
      <c r="A18">
        <v>5</v>
      </c>
      <c r="B18" s="33" t="str">
        <f t="shared" si="4"/>
        <v/>
      </c>
      <c r="C18" s="212"/>
      <c r="D18" s="212"/>
      <c r="E18" s="212"/>
      <c r="F18" s="212"/>
      <c r="G18" s="212"/>
      <c r="H18" s="212"/>
      <c r="I18" s="22"/>
      <c r="J18" s="218">
        <v>0</v>
      </c>
      <c r="K18" s="219"/>
      <c r="L18" s="219"/>
      <c r="M18" s="220"/>
      <c r="N18" s="22"/>
      <c r="O18" s="15">
        <v>1</v>
      </c>
      <c r="P18" s="21"/>
      <c r="Q18" s="22"/>
      <c r="R18" s="1" t="s">
        <v>14</v>
      </c>
      <c r="S18" s="22"/>
      <c r="T18" s="33" t="str">
        <f t="shared" si="0"/>
        <v/>
      </c>
      <c r="U18" s="221"/>
      <c r="V18" s="221"/>
      <c r="W18" s="221"/>
      <c r="X18" s="221"/>
      <c r="Y18" s="221"/>
      <c r="Z18" s="221"/>
      <c r="AA18" s="22"/>
      <c r="AB18" s="218">
        <v>0</v>
      </c>
      <c r="AC18" s="219"/>
      <c r="AD18" s="219"/>
      <c r="AE18" s="220"/>
      <c r="AF18" s="22"/>
      <c r="AG18" s="15">
        <v>0</v>
      </c>
      <c r="AH18" s="21"/>
      <c r="AI18" s="22"/>
      <c r="AJ18" s="11" t="s">
        <v>14</v>
      </c>
      <c r="AK18" s="22"/>
      <c r="AL18" s="33" t="str">
        <f t="shared" si="5"/>
        <v/>
      </c>
      <c r="AM18" s="222"/>
      <c r="AN18" s="222"/>
      <c r="AO18" s="222"/>
      <c r="AP18" s="222"/>
      <c r="AQ18" s="222"/>
      <c r="AR18" s="222"/>
      <c r="AS18" s="22"/>
      <c r="AT18" s="218">
        <v>0</v>
      </c>
      <c r="AU18" s="219"/>
      <c r="AV18" s="219"/>
      <c r="AW18" s="220"/>
      <c r="AX18" s="22"/>
      <c r="AY18" s="15">
        <v>0</v>
      </c>
      <c r="AZ18" s="21"/>
      <c r="BA18" s="22"/>
      <c r="BB18" s="11" t="s">
        <v>0</v>
      </c>
      <c r="BC18" s="34"/>
      <c r="BD18" s="34">
        <f t="shared" si="8"/>
        <v>10</v>
      </c>
      <c r="BE18" s="34">
        <f t="shared" si="1"/>
        <v>0</v>
      </c>
      <c r="BF18" s="57">
        <f t="shared" si="6"/>
        <v>0</v>
      </c>
      <c r="BG18" s="25"/>
      <c r="BH18" s="25"/>
      <c r="BI18" s="25"/>
      <c r="BJ18" s="62" t="str">
        <f t="shared" si="7"/>
        <v>{, "", 5, 1, 0, 1, 5, 19,"V"},</v>
      </c>
      <c r="BK18" s="34"/>
      <c r="BL18" s="22"/>
      <c r="BM18" s="22"/>
      <c r="BN18" s="34"/>
      <c r="BO18" s="34"/>
      <c r="BP18" s="34"/>
      <c r="BQ18" s="34"/>
      <c r="BR18" s="34"/>
      <c r="BS18" s="34"/>
      <c r="BT18" s="34"/>
      <c r="BU18" s="34"/>
      <c r="BV18" s="34"/>
      <c r="BW18" s="22"/>
      <c r="BX18" s="22"/>
      <c r="BY18" s="22"/>
      <c r="BZ18" s="34"/>
      <c r="CA18" s="22"/>
      <c r="CB18" s="34" t="str">
        <f t="shared" si="2"/>
        <v>{, "", 5, 28, 0, 0, 5, 46,"V"},</v>
      </c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34" t="str">
        <f t="shared" si="3"/>
        <v>{, "", 5, 55, 0, 0, 5, 73,"A"},</v>
      </c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35"/>
    </row>
    <row r="19" spans="1:104" x14ac:dyDescent="0.25">
      <c r="A19">
        <v>6</v>
      </c>
      <c r="B19" s="33" t="str">
        <f t="shared" si="4"/>
        <v/>
      </c>
      <c r="C19" s="212"/>
      <c r="D19" s="212"/>
      <c r="E19" s="212"/>
      <c r="F19" s="212"/>
      <c r="G19" s="212"/>
      <c r="H19" s="212"/>
      <c r="I19" s="22"/>
      <c r="J19" s="218">
        <v>0</v>
      </c>
      <c r="K19" s="219"/>
      <c r="L19" s="219"/>
      <c r="M19" s="220"/>
      <c r="N19" s="22"/>
      <c r="O19" s="15">
        <v>1</v>
      </c>
      <c r="P19" s="21"/>
      <c r="Q19" s="22"/>
      <c r="R19" s="1" t="s">
        <v>14</v>
      </c>
      <c r="S19" s="22"/>
      <c r="T19" s="33" t="str">
        <f t="shared" si="0"/>
        <v/>
      </c>
      <c r="U19" s="221"/>
      <c r="V19" s="221"/>
      <c r="W19" s="221"/>
      <c r="X19" s="221"/>
      <c r="Y19" s="221"/>
      <c r="Z19" s="221"/>
      <c r="AA19" s="22"/>
      <c r="AB19" s="218">
        <v>0</v>
      </c>
      <c r="AC19" s="219"/>
      <c r="AD19" s="219"/>
      <c r="AE19" s="220"/>
      <c r="AF19" s="22"/>
      <c r="AG19" s="15">
        <v>0</v>
      </c>
      <c r="AH19" s="21"/>
      <c r="AI19" s="22"/>
      <c r="AJ19" s="11" t="s">
        <v>14</v>
      </c>
      <c r="AK19" s="22"/>
      <c r="AL19" s="33" t="str">
        <f t="shared" si="5"/>
        <v/>
      </c>
      <c r="AM19" s="222"/>
      <c r="AN19" s="222"/>
      <c r="AO19" s="222"/>
      <c r="AP19" s="222"/>
      <c r="AQ19" s="222"/>
      <c r="AR19" s="222"/>
      <c r="AS19" s="22"/>
      <c r="AT19" s="218">
        <v>0</v>
      </c>
      <c r="AU19" s="219"/>
      <c r="AV19" s="219"/>
      <c r="AW19" s="220"/>
      <c r="AX19" s="22"/>
      <c r="AY19" s="15">
        <v>0</v>
      </c>
      <c r="AZ19" s="21"/>
      <c r="BA19" s="22"/>
      <c r="BB19" s="11" t="s">
        <v>14</v>
      </c>
      <c r="BC19" s="34"/>
      <c r="BD19" s="34">
        <f t="shared" si="8"/>
        <v>0</v>
      </c>
      <c r="BE19" s="34">
        <f t="shared" si="1"/>
        <v>0</v>
      </c>
      <c r="BF19" s="57">
        <f t="shared" si="6"/>
        <v>0</v>
      </c>
      <c r="BG19" s="25"/>
      <c r="BH19" s="25"/>
      <c r="BI19" s="25"/>
      <c r="BJ19" s="62" t="str">
        <f t="shared" si="7"/>
        <v>{, "", 6, 1, 0, 1, 6, 19,"V"},</v>
      </c>
      <c r="BK19" s="34"/>
      <c r="BL19" s="22"/>
      <c r="BM19" s="22"/>
      <c r="BN19" s="34"/>
      <c r="BO19" s="34"/>
      <c r="BP19" s="34"/>
      <c r="BQ19" s="34"/>
      <c r="BR19" s="34"/>
      <c r="BS19" s="34"/>
      <c r="BT19" s="34"/>
      <c r="BU19" s="34"/>
      <c r="BV19" s="34"/>
      <c r="BW19" s="22"/>
      <c r="BX19" s="22"/>
      <c r="BY19" s="22"/>
      <c r="BZ19" s="34"/>
      <c r="CA19" s="22"/>
      <c r="CB19" s="34" t="str">
        <f t="shared" si="2"/>
        <v>{, "", 6, 28, 0, 0, 6, 46,"V"},</v>
      </c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34" t="str">
        <f t="shared" si="3"/>
        <v>{, "", 6, 55, 0, 0, 6, 73,"V"},</v>
      </c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35"/>
    </row>
    <row r="20" spans="1:104" x14ac:dyDescent="0.25">
      <c r="A20">
        <v>7</v>
      </c>
      <c r="B20" s="33" t="str">
        <f t="shared" si="4"/>
        <v/>
      </c>
      <c r="C20" s="212"/>
      <c r="D20" s="212"/>
      <c r="E20" s="212"/>
      <c r="F20" s="212"/>
      <c r="G20" s="212"/>
      <c r="H20" s="212"/>
      <c r="I20" s="22"/>
      <c r="J20" s="218">
        <v>0</v>
      </c>
      <c r="K20" s="219"/>
      <c r="L20" s="219"/>
      <c r="M20" s="220"/>
      <c r="N20" s="22"/>
      <c r="O20" s="15">
        <v>1</v>
      </c>
      <c r="P20" s="21"/>
      <c r="Q20" s="22"/>
      <c r="R20" s="1" t="s">
        <v>14</v>
      </c>
      <c r="S20" s="22"/>
      <c r="T20" s="33" t="str">
        <f t="shared" si="0"/>
        <v/>
      </c>
      <c r="U20" s="221"/>
      <c r="V20" s="221"/>
      <c r="W20" s="221"/>
      <c r="X20" s="221"/>
      <c r="Y20" s="221"/>
      <c r="Z20" s="221"/>
      <c r="AA20" s="22"/>
      <c r="AB20" s="218">
        <v>0</v>
      </c>
      <c r="AC20" s="219"/>
      <c r="AD20" s="219"/>
      <c r="AE20" s="220"/>
      <c r="AF20" s="22"/>
      <c r="AG20" s="15">
        <v>0</v>
      </c>
      <c r="AH20" s="21"/>
      <c r="AI20" s="22"/>
      <c r="AJ20" s="11" t="s">
        <v>14</v>
      </c>
      <c r="AK20" s="22"/>
      <c r="AL20" s="33" t="str">
        <f t="shared" si="5"/>
        <v/>
      </c>
      <c r="AM20" s="222"/>
      <c r="AN20" s="222"/>
      <c r="AO20" s="222"/>
      <c r="AP20" s="222"/>
      <c r="AQ20" s="222"/>
      <c r="AR20" s="222"/>
      <c r="AS20" s="22"/>
      <c r="AT20" s="218">
        <v>0</v>
      </c>
      <c r="AU20" s="219"/>
      <c r="AV20" s="219"/>
      <c r="AW20" s="220"/>
      <c r="AX20" s="22"/>
      <c r="AY20" s="15">
        <v>4</v>
      </c>
      <c r="AZ20" s="21"/>
      <c r="BA20" s="22"/>
      <c r="BB20" s="11" t="s">
        <v>184</v>
      </c>
      <c r="BC20" s="34"/>
      <c r="BD20" s="34">
        <f t="shared" si="8"/>
        <v>0</v>
      </c>
      <c r="BE20" s="34">
        <f t="shared" si="1"/>
        <v>0</v>
      </c>
      <c r="BF20" s="57">
        <f t="shared" si="6"/>
        <v>0</v>
      </c>
      <c r="BG20" s="25"/>
      <c r="BH20" s="25"/>
      <c r="BI20" s="25"/>
      <c r="BJ20" s="62" t="str">
        <f t="shared" si="7"/>
        <v>{, "", 7, 1, 0, 1, 7, 19,"V"},</v>
      </c>
      <c r="BK20" s="34"/>
      <c r="BL20" s="22"/>
      <c r="BM20" s="22"/>
      <c r="BN20" s="34"/>
      <c r="BO20" s="34"/>
      <c r="BP20" s="34"/>
      <c r="BQ20" s="34"/>
      <c r="BR20" s="34"/>
      <c r="BS20" s="34"/>
      <c r="BT20" s="34"/>
      <c r="BU20" s="34"/>
      <c r="BV20" s="34"/>
      <c r="BW20" s="22"/>
      <c r="BX20" s="22"/>
      <c r="BY20" s="22"/>
      <c r="BZ20" s="34"/>
      <c r="CA20" s="22"/>
      <c r="CB20" s="34" t="str">
        <f t="shared" si="2"/>
        <v>{, "", 7, 28, 0, 0, 7, 46,"V"},</v>
      </c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34" t="str">
        <f t="shared" si="3"/>
        <v>{, "", 7, 55, 0, 4, 7, 73,"X"},</v>
      </c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35"/>
    </row>
    <row r="21" spans="1:104" ht="15.75" thickBot="1" x14ac:dyDescent="0.3">
      <c r="A21">
        <v>8</v>
      </c>
      <c r="B21" s="53" t="str">
        <f t="shared" si="4"/>
        <v/>
      </c>
      <c r="C21" s="212"/>
      <c r="D21" s="212"/>
      <c r="E21" s="212"/>
      <c r="F21" s="212"/>
      <c r="G21" s="212"/>
      <c r="H21" s="212"/>
      <c r="I21" s="36"/>
      <c r="J21" s="223">
        <v>0</v>
      </c>
      <c r="K21" s="224"/>
      <c r="L21" s="224"/>
      <c r="M21" s="225"/>
      <c r="N21" s="36"/>
      <c r="O21" s="15">
        <v>1</v>
      </c>
      <c r="P21" s="54"/>
      <c r="Q21" s="36"/>
      <c r="R21" s="1" t="s">
        <v>14</v>
      </c>
      <c r="S21" s="36"/>
      <c r="T21" s="53" t="str">
        <f t="shared" si="0"/>
        <v/>
      </c>
      <c r="U21" s="226"/>
      <c r="V21" s="226"/>
      <c r="W21" s="226"/>
      <c r="X21" s="226"/>
      <c r="Y21" s="226"/>
      <c r="Z21" s="226"/>
      <c r="AA21" s="36"/>
      <c r="AB21" s="223">
        <v>0</v>
      </c>
      <c r="AC21" s="224"/>
      <c r="AD21" s="224"/>
      <c r="AE21" s="225"/>
      <c r="AF21" s="36"/>
      <c r="AG21" s="75">
        <v>0</v>
      </c>
      <c r="AH21" s="54"/>
      <c r="AI21" s="36"/>
      <c r="AJ21" s="55" t="s">
        <v>14</v>
      </c>
      <c r="AK21" s="36"/>
      <c r="AL21" s="33" t="str">
        <f t="shared" si="5"/>
        <v/>
      </c>
      <c r="AM21" s="227"/>
      <c r="AN21" s="227"/>
      <c r="AO21" s="227"/>
      <c r="AP21" s="227"/>
      <c r="AQ21" s="227"/>
      <c r="AR21" s="227"/>
      <c r="AS21" s="22"/>
      <c r="AT21" s="228">
        <v>0</v>
      </c>
      <c r="AU21" s="229"/>
      <c r="AV21" s="229"/>
      <c r="AW21" s="230"/>
      <c r="AX21" s="22"/>
      <c r="AY21" s="77">
        <v>4</v>
      </c>
      <c r="AZ21" s="21"/>
      <c r="BA21" s="22"/>
      <c r="BB21" s="78" t="s">
        <v>184</v>
      </c>
      <c r="BC21" s="34"/>
      <c r="BD21" s="34">
        <f t="shared" si="8"/>
        <v>0</v>
      </c>
      <c r="BE21" s="34">
        <f t="shared" si="1"/>
        <v>0</v>
      </c>
      <c r="BF21" s="57">
        <f t="shared" si="6"/>
        <v>0</v>
      </c>
      <c r="BG21" s="25"/>
      <c r="BH21" s="25"/>
      <c r="BI21" s="25"/>
      <c r="BJ21" s="62" t="str">
        <f t="shared" si="7"/>
        <v>{, "", 8, 1, 0, 1, 8, 19,"V"},</v>
      </c>
      <c r="BK21" s="34"/>
      <c r="BL21" s="22"/>
      <c r="BM21" s="22"/>
      <c r="BN21" s="34"/>
      <c r="BO21" s="34"/>
      <c r="BP21" s="34"/>
      <c r="BQ21" s="34"/>
      <c r="BR21" s="34"/>
      <c r="BS21" s="34"/>
      <c r="BT21" s="34"/>
      <c r="BU21" s="34"/>
      <c r="BV21" s="34"/>
      <c r="BW21" s="22"/>
      <c r="BX21" s="22"/>
      <c r="BY21" s="22"/>
      <c r="BZ21" s="34"/>
      <c r="CA21" s="22"/>
      <c r="CB21" s="34" t="str">
        <f t="shared" si="2"/>
        <v>{, "", 8, 28, 0, 0, 8, 46,"V"},</v>
      </c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34" t="str">
        <f t="shared" si="3"/>
        <v>{, "", 8, 55, 0, 4, 8, 73,"X"},</v>
      </c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35"/>
    </row>
    <row r="22" spans="1:104" x14ac:dyDescent="0.25">
      <c r="A22">
        <v>9</v>
      </c>
      <c r="B22" s="29" t="str">
        <f t="shared" si="4"/>
        <v/>
      </c>
      <c r="C22" s="212"/>
      <c r="D22" s="212"/>
      <c r="E22" s="212"/>
      <c r="F22" s="212"/>
      <c r="G22" s="212"/>
      <c r="H22" s="212"/>
      <c r="I22" s="30"/>
      <c r="J22" s="213">
        <v>0</v>
      </c>
      <c r="K22" s="214"/>
      <c r="L22" s="214"/>
      <c r="M22" s="215"/>
      <c r="N22" s="30"/>
      <c r="O22" s="15">
        <v>1</v>
      </c>
      <c r="P22" s="52"/>
      <c r="Q22" s="30"/>
      <c r="R22" s="1" t="s">
        <v>14</v>
      </c>
      <c r="S22" s="30"/>
      <c r="T22" s="29" t="str">
        <f t="shared" si="0"/>
        <v/>
      </c>
      <c r="U22" s="216"/>
      <c r="V22" s="216"/>
      <c r="W22" s="216"/>
      <c r="X22" s="216"/>
      <c r="Y22" s="216"/>
      <c r="Z22" s="216"/>
      <c r="AA22" s="30"/>
      <c r="AB22" s="213">
        <v>0</v>
      </c>
      <c r="AC22" s="214"/>
      <c r="AD22" s="214"/>
      <c r="AE22" s="215"/>
      <c r="AF22" s="30"/>
      <c r="AG22" s="51">
        <v>0</v>
      </c>
      <c r="AH22" s="52"/>
      <c r="AI22" s="30"/>
      <c r="AJ22" s="9" t="s">
        <v>14</v>
      </c>
      <c r="AK22" s="30"/>
      <c r="AL22" s="33" t="str">
        <f t="shared" si="5"/>
        <v/>
      </c>
      <c r="AM22" s="217"/>
      <c r="AN22" s="217"/>
      <c r="AO22" s="217"/>
      <c r="AP22" s="217"/>
      <c r="AQ22" s="217"/>
      <c r="AR22" s="217"/>
      <c r="AS22" s="30"/>
      <c r="AT22" s="213">
        <v>0</v>
      </c>
      <c r="AU22" s="214"/>
      <c r="AV22" s="214"/>
      <c r="AW22" s="215"/>
      <c r="AX22" s="30"/>
      <c r="AY22" s="51">
        <v>4</v>
      </c>
      <c r="AZ22" s="52"/>
      <c r="BA22" s="30"/>
      <c r="BB22" s="9" t="s">
        <v>184</v>
      </c>
      <c r="BC22" s="31"/>
      <c r="BD22" s="31">
        <f t="shared" si="8"/>
        <v>0</v>
      </c>
      <c r="BE22" s="31">
        <f t="shared" si="1"/>
        <v>0</v>
      </c>
      <c r="BF22" s="56">
        <f t="shared" si="6"/>
        <v>0</v>
      </c>
      <c r="BG22" s="25"/>
      <c r="BH22" s="25"/>
      <c r="BI22" s="25"/>
      <c r="BJ22" s="62" t="str">
        <f t="shared" si="7"/>
        <v>{, "", 9, 1, 0, 1, 9, 19,"V"},</v>
      </c>
      <c r="BK22" s="34"/>
      <c r="BL22" s="22"/>
      <c r="BM22" s="22"/>
      <c r="BN22" s="34"/>
      <c r="BO22" s="34"/>
      <c r="BP22" s="34"/>
      <c r="BQ22" s="34"/>
      <c r="BR22" s="34"/>
      <c r="BS22" s="34"/>
      <c r="BT22" s="34"/>
      <c r="BU22" s="34"/>
      <c r="BV22" s="34"/>
      <c r="BW22" s="22"/>
      <c r="BX22" s="22"/>
      <c r="BY22" s="22"/>
      <c r="BZ22" s="34"/>
      <c r="CA22" s="22"/>
      <c r="CB22" s="34" t="str">
        <f t="shared" si="2"/>
        <v>{, "", 9, 28, 0, 0, 9, 46,"V"},</v>
      </c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34" t="str">
        <f t="shared" si="3"/>
        <v>{, "", 9, 55, 0, 4, 9, 73,"X"},</v>
      </c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35"/>
    </row>
    <row r="23" spans="1:104" x14ac:dyDescent="0.25">
      <c r="A23">
        <v>10</v>
      </c>
      <c r="B23" s="33" t="str">
        <f t="shared" si="4"/>
        <v/>
      </c>
      <c r="C23" s="212"/>
      <c r="D23" s="212"/>
      <c r="E23" s="212"/>
      <c r="F23" s="212"/>
      <c r="G23" s="212"/>
      <c r="H23" s="212"/>
      <c r="I23" s="22"/>
      <c r="J23" s="218">
        <v>0</v>
      </c>
      <c r="K23" s="219"/>
      <c r="L23" s="219"/>
      <c r="M23" s="220"/>
      <c r="N23" s="22"/>
      <c r="O23" s="15">
        <v>1</v>
      </c>
      <c r="P23" s="21"/>
      <c r="Q23" s="22"/>
      <c r="R23" s="1" t="s">
        <v>14</v>
      </c>
      <c r="S23" s="22"/>
      <c r="T23" s="33" t="str">
        <f t="shared" si="0"/>
        <v/>
      </c>
      <c r="U23" s="221"/>
      <c r="V23" s="221"/>
      <c r="W23" s="221"/>
      <c r="X23" s="221"/>
      <c r="Y23" s="221"/>
      <c r="Z23" s="221"/>
      <c r="AA23" s="22"/>
      <c r="AB23" s="218">
        <v>0</v>
      </c>
      <c r="AC23" s="219"/>
      <c r="AD23" s="219"/>
      <c r="AE23" s="220"/>
      <c r="AF23" s="22"/>
      <c r="AG23" s="15">
        <v>0</v>
      </c>
      <c r="AH23" s="21"/>
      <c r="AI23" s="22"/>
      <c r="AJ23" s="11" t="s">
        <v>14</v>
      </c>
      <c r="AK23" s="22"/>
      <c r="AL23" s="33" t="str">
        <f t="shared" si="5"/>
        <v/>
      </c>
      <c r="AM23" s="231"/>
      <c r="AN23" s="232"/>
      <c r="AO23" s="232"/>
      <c r="AP23" s="232"/>
      <c r="AQ23" s="232"/>
      <c r="AR23" s="233"/>
      <c r="AS23" s="22"/>
      <c r="AT23" s="72">
        <v>0</v>
      </c>
      <c r="AU23" s="73"/>
      <c r="AV23" s="73"/>
      <c r="AW23" s="74"/>
      <c r="AX23" s="22"/>
      <c r="AY23" s="15">
        <v>0</v>
      </c>
      <c r="AZ23" s="21"/>
      <c r="BA23" s="22"/>
      <c r="BB23" s="11" t="s">
        <v>14</v>
      </c>
      <c r="BC23" s="34"/>
      <c r="BD23" s="34">
        <f t="shared" ref="BD23:BD37" si="9">LEN(C23)</f>
        <v>0</v>
      </c>
      <c r="BE23" s="34">
        <f t="shared" si="1"/>
        <v>0</v>
      </c>
      <c r="BF23" s="57">
        <f t="shared" si="6"/>
        <v>0</v>
      </c>
      <c r="BG23" s="25"/>
      <c r="BH23" s="25"/>
      <c r="BI23" s="25"/>
      <c r="BJ23" s="62" t="str">
        <f t="shared" si="7"/>
        <v>{, "", 10, 1, 0, 1, 10, 19,"V"},</v>
      </c>
      <c r="BK23" s="34"/>
      <c r="BL23" s="22"/>
      <c r="BM23" s="22"/>
      <c r="BN23" s="34"/>
      <c r="BO23" s="34"/>
      <c r="BP23" s="34"/>
      <c r="BQ23" s="34"/>
      <c r="BR23" s="34"/>
      <c r="BS23" s="34"/>
      <c r="BT23" s="34"/>
      <c r="BU23" s="34"/>
      <c r="BV23" s="34"/>
      <c r="BW23" s="22"/>
      <c r="BX23" s="22"/>
      <c r="BY23" s="22"/>
      <c r="BZ23" s="34"/>
      <c r="CA23" s="22"/>
      <c r="CB23" s="34" t="str">
        <f t="shared" si="2"/>
        <v>{, "", 10, 28, 0, 0, 10, 46,"V"},</v>
      </c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34" t="str">
        <f t="shared" si="3"/>
        <v>{, "", 10, 55, 0, 0, 10, 73,"V"},</v>
      </c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35"/>
    </row>
    <row r="24" spans="1:104" x14ac:dyDescent="0.25">
      <c r="A24">
        <v>11</v>
      </c>
      <c r="B24" s="33" t="str">
        <f t="shared" si="4"/>
        <v/>
      </c>
      <c r="C24" s="212"/>
      <c r="D24" s="212"/>
      <c r="E24" s="212"/>
      <c r="F24" s="212"/>
      <c r="G24" s="212"/>
      <c r="H24" s="212"/>
      <c r="I24" s="22"/>
      <c r="J24" s="218">
        <v>0</v>
      </c>
      <c r="K24" s="219"/>
      <c r="L24" s="219"/>
      <c r="M24" s="220"/>
      <c r="N24" s="22"/>
      <c r="O24" s="15">
        <v>1</v>
      </c>
      <c r="P24" s="21"/>
      <c r="Q24" s="22"/>
      <c r="R24" s="1" t="s">
        <v>14</v>
      </c>
      <c r="S24" s="22"/>
      <c r="T24" s="33" t="str">
        <f t="shared" si="0"/>
        <v/>
      </c>
      <c r="U24" s="221"/>
      <c r="V24" s="221"/>
      <c r="W24" s="221"/>
      <c r="X24" s="221"/>
      <c r="Y24" s="221"/>
      <c r="Z24" s="221"/>
      <c r="AA24" s="22"/>
      <c r="AB24" s="218">
        <v>0</v>
      </c>
      <c r="AC24" s="219"/>
      <c r="AD24" s="219"/>
      <c r="AE24" s="220"/>
      <c r="AF24" s="22"/>
      <c r="AG24" s="15">
        <v>1</v>
      </c>
      <c r="AH24" s="21"/>
      <c r="AI24" s="22"/>
      <c r="AJ24" s="11" t="s">
        <v>14</v>
      </c>
      <c r="AK24" s="22"/>
      <c r="AL24" s="33" t="str">
        <f>SUBSTITUTE(PROPER(AM24)," ","")</f>
        <v/>
      </c>
      <c r="AM24" s="231"/>
      <c r="AN24" s="232"/>
      <c r="AO24" s="232"/>
      <c r="AP24" s="232"/>
      <c r="AQ24" s="232"/>
      <c r="AR24" s="233"/>
      <c r="AS24" s="22"/>
      <c r="AT24" s="72">
        <v>0</v>
      </c>
      <c r="AU24" s="73"/>
      <c r="AV24" s="73"/>
      <c r="AW24" s="74"/>
      <c r="AX24" s="22"/>
      <c r="AY24" s="15">
        <v>0</v>
      </c>
      <c r="AZ24" s="21"/>
      <c r="BA24" s="22"/>
      <c r="BB24" s="11" t="s">
        <v>14</v>
      </c>
      <c r="BC24" s="34"/>
      <c r="BD24" s="34">
        <f t="shared" si="9"/>
        <v>0</v>
      </c>
      <c r="BE24" s="34">
        <f t="shared" si="1"/>
        <v>0</v>
      </c>
      <c r="BF24" s="57">
        <f>LEN(AM23)</f>
        <v>0</v>
      </c>
      <c r="BG24" s="25"/>
      <c r="BH24" s="25"/>
      <c r="BI24" s="25"/>
      <c r="BJ24" s="62" t="str">
        <f t="shared" si="7"/>
        <v>{, "", 11, 1, 0, 1, 11, 19,"V"},</v>
      </c>
      <c r="BK24" s="34"/>
      <c r="BL24" s="22"/>
      <c r="BM24" s="22"/>
      <c r="BN24" s="34"/>
      <c r="BO24" s="34"/>
      <c r="BP24" s="34"/>
      <c r="BQ24" s="34"/>
      <c r="BR24" s="34"/>
      <c r="BS24" s="34"/>
      <c r="BT24" s="34"/>
      <c r="BU24" s="34"/>
      <c r="BV24" s="34"/>
      <c r="BW24" s="22"/>
      <c r="BX24" s="22"/>
      <c r="BY24" s="22"/>
      <c r="BZ24" s="34"/>
      <c r="CA24" s="22"/>
      <c r="CB24" s="34" t="str">
        <f t="shared" si="2"/>
        <v>{, "", 11, 28, 0, 1, 11, 46,"V"},</v>
      </c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34" t="str">
        <f t="shared" si="3"/>
        <v>{, "", 11, 55, 0, 0, 11, 73,"V"},</v>
      </c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35"/>
    </row>
    <row r="25" spans="1:104" x14ac:dyDescent="0.25">
      <c r="A25">
        <v>12</v>
      </c>
      <c r="B25" s="33" t="str">
        <f t="shared" si="4"/>
        <v/>
      </c>
      <c r="C25" s="212"/>
      <c r="D25" s="212"/>
      <c r="E25" s="212"/>
      <c r="F25" s="212"/>
      <c r="G25" s="212"/>
      <c r="H25" s="212"/>
      <c r="I25" s="22"/>
      <c r="J25" s="218">
        <v>0</v>
      </c>
      <c r="K25" s="219"/>
      <c r="L25" s="219"/>
      <c r="M25" s="220"/>
      <c r="N25" s="22"/>
      <c r="O25" s="15">
        <v>1</v>
      </c>
      <c r="P25" s="21"/>
      <c r="Q25" s="22"/>
      <c r="R25" s="1" t="s">
        <v>14</v>
      </c>
      <c r="S25" s="22"/>
      <c r="T25" s="33" t="str">
        <f t="shared" si="0"/>
        <v/>
      </c>
      <c r="U25" s="221"/>
      <c r="V25" s="221"/>
      <c r="W25" s="221"/>
      <c r="X25" s="221"/>
      <c r="Y25" s="221"/>
      <c r="Z25" s="221"/>
      <c r="AA25" s="22"/>
      <c r="AB25" s="218">
        <v>0</v>
      </c>
      <c r="AC25" s="219"/>
      <c r="AD25" s="219"/>
      <c r="AE25" s="220"/>
      <c r="AF25" s="22"/>
      <c r="AG25" s="15">
        <v>1</v>
      </c>
      <c r="AH25" s="21"/>
      <c r="AI25" s="22"/>
      <c r="AJ25" s="11" t="s">
        <v>14</v>
      </c>
      <c r="AK25" s="22"/>
      <c r="AL25" s="33" t="str">
        <f>SUBSTITUTE(PROPER(AM25)," ","")</f>
        <v/>
      </c>
      <c r="AM25" s="231"/>
      <c r="AN25" s="232"/>
      <c r="AO25" s="232"/>
      <c r="AP25" s="232"/>
      <c r="AQ25" s="232"/>
      <c r="AR25" s="233"/>
      <c r="AS25" s="22"/>
      <c r="AT25" s="72">
        <v>0</v>
      </c>
      <c r="AU25" s="73"/>
      <c r="AV25" s="73"/>
      <c r="AW25" s="74"/>
      <c r="AX25" s="22"/>
      <c r="AY25" s="15">
        <v>1</v>
      </c>
      <c r="AZ25" s="21"/>
      <c r="BA25" s="22"/>
      <c r="BB25" s="11" t="s">
        <v>14</v>
      </c>
      <c r="BC25" s="34"/>
      <c r="BD25" s="34">
        <f t="shared" si="9"/>
        <v>0</v>
      </c>
      <c r="BE25" s="34">
        <f t="shared" si="1"/>
        <v>0</v>
      </c>
      <c r="BF25" s="57">
        <f>LEN(AM24)</f>
        <v>0</v>
      </c>
      <c r="BG25" s="25"/>
      <c r="BH25" s="25"/>
      <c r="BI25" s="25"/>
      <c r="BJ25" s="62" t="str">
        <f t="shared" si="7"/>
        <v>{, "", 12, 1, 0, 1, 12, 19,"V"},</v>
      </c>
      <c r="BK25" s="34"/>
      <c r="BL25" s="22"/>
      <c r="BM25" s="22"/>
      <c r="BN25" s="34"/>
      <c r="BO25" s="34"/>
      <c r="BP25" s="34"/>
      <c r="BQ25" s="34"/>
      <c r="BR25" s="34"/>
      <c r="BS25" s="34"/>
      <c r="BT25" s="34"/>
      <c r="BU25" s="34"/>
      <c r="BV25" s="34"/>
      <c r="BW25" s="22"/>
      <c r="BX25" s="22"/>
      <c r="BY25" s="22"/>
      <c r="BZ25" s="34"/>
      <c r="CA25" s="22"/>
      <c r="CB25" s="34" t="str">
        <f t="shared" si="2"/>
        <v>{, "", 12, 28, 0, 1, 12, 46,"V"},</v>
      </c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34" t="str">
        <f t="shared" si="3"/>
        <v>{, "", 12, 55, 0, 1, 12, 73,"V"},</v>
      </c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35"/>
    </row>
    <row r="26" spans="1:104" x14ac:dyDescent="0.25">
      <c r="A26">
        <v>13</v>
      </c>
      <c r="B26" s="33" t="str">
        <f t="shared" si="4"/>
        <v/>
      </c>
      <c r="C26" s="212"/>
      <c r="D26" s="212"/>
      <c r="E26" s="212"/>
      <c r="F26" s="212"/>
      <c r="G26" s="212"/>
      <c r="H26" s="212"/>
      <c r="I26" s="22"/>
      <c r="J26" s="218">
        <v>0</v>
      </c>
      <c r="K26" s="219"/>
      <c r="L26" s="219"/>
      <c r="M26" s="220"/>
      <c r="N26" s="22"/>
      <c r="O26" s="15">
        <v>0</v>
      </c>
      <c r="P26" s="21"/>
      <c r="Q26" s="22"/>
      <c r="R26" s="1" t="s">
        <v>14</v>
      </c>
      <c r="S26" s="22"/>
      <c r="T26" s="33" t="str">
        <f t="shared" si="0"/>
        <v/>
      </c>
      <c r="U26" s="221"/>
      <c r="V26" s="221"/>
      <c r="W26" s="221"/>
      <c r="X26" s="221"/>
      <c r="Y26" s="221"/>
      <c r="Z26" s="221"/>
      <c r="AA26" s="22"/>
      <c r="AB26" s="218">
        <v>0</v>
      </c>
      <c r="AC26" s="219"/>
      <c r="AD26" s="219"/>
      <c r="AE26" s="220"/>
      <c r="AF26" s="22"/>
      <c r="AG26" s="15">
        <v>1</v>
      </c>
      <c r="AH26" s="21"/>
      <c r="AI26" s="22"/>
      <c r="AJ26" s="11" t="s">
        <v>14</v>
      </c>
      <c r="AK26" s="22"/>
      <c r="AL26" s="33" t="str">
        <f>SUBSTITUTE(PROPER(AM26)," ","")</f>
        <v/>
      </c>
      <c r="AM26" s="231"/>
      <c r="AN26" s="232"/>
      <c r="AO26" s="232"/>
      <c r="AP26" s="232"/>
      <c r="AQ26" s="232"/>
      <c r="AR26" s="233"/>
      <c r="AS26" s="22"/>
      <c r="AT26" s="72">
        <v>0</v>
      </c>
      <c r="AU26" s="73"/>
      <c r="AV26" s="73"/>
      <c r="AW26" s="74"/>
      <c r="AX26" s="22"/>
      <c r="AY26" s="15">
        <v>1</v>
      </c>
      <c r="AZ26" s="21"/>
      <c r="BA26" s="22"/>
      <c r="BB26" s="11" t="s">
        <v>14</v>
      </c>
      <c r="BC26" s="34"/>
      <c r="BD26" s="34">
        <f t="shared" si="9"/>
        <v>0</v>
      </c>
      <c r="BE26" s="34">
        <f t="shared" si="1"/>
        <v>0</v>
      </c>
      <c r="BF26" s="57">
        <f>LEN(AM25)</f>
        <v>0</v>
      </c>
      <c r="BG26" s="25"/>
      <c r="BH26" s="25"/>
      <c r="BI26" s="25"/>
      <c r="BJ26" s="62" t="str">
        <f t="shared" si="7"/>
        <v>{, "", 13, 1, 0, 0, 13, 19,"V"},</v>
      </c>
      <c r="BK26" s="34"/>
      <c r="BL26" s="22"/>
      <c r="BM26" s="22"/>
      <c r="BN26" s="34"/>
      <c r="BO26" s="34"/>
      <c r="BP26" s="34"/>
      <c r="BQ26" s="34"/>
      <c r="BR26" s="34"/>
      <c r="BS26" s="34"/>
      <c r="BT26" s="34"/>
      <c r="BU26" s="34"/>
      <c r="BV26" s="34"/>
      <c r="BW26" s="22"/>
      <c r="BX26" s="22"/>
      <c r="BY26" s="22"/>
      <c r="BZ26" s="34"/>
      <c r="CA26" s="22"/>
      <c r="CB26" s="34" t="str">
        <f t="shared" si="2"/>
        <v>{, "", 13, 28, 0, 1, 13, 46,"V"},</v>
      </c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34" t="str">
        <f t="shared" si="3"/>
        <v>{, "", 13, 55, 0, 1, 13, 73,"V"},</v>
      </c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35"/>
    </row>
    <row r="27" spans="1:104" x14ac:dyDescent="0.25">
      <c r="A27">
        <v>14</v>
      </c>
      <c r="B27" s="33" t="str">
        <f t="shared" si="4"/>
        <v/>
      </c>
      <c r="C27" s="212"/>
      <c r="D27" s="212"/>
      <c r="E27" s="212"/>
      <c r="F27" s="212"/>
      <c r="G27" s="212"/>
      <c r="H27" s="212"/>
      <c r="I27" s="22"/>
      <c r="J27" s="218">
        <v>0</v>
      </c>
      <c r="K27" s="219"/>
      <c r="L27" s="219"/>
      <c r="M27" s="220"/>
      <c r="N27" s="22"/>
      <c r="O27" s="15">
        <v>1</v>
      </c>
      <c r="P27" s="21"/>
      <c r="Q27" s="22"/>
      <c r="R27" s="1" t="s">
        <v>14</v>
      </c>
      <c r="S27" s="22"/>
      <c r="T27" s="33" t="str">
        <f t="shared" si="0"/>
        <v/>
      </c>
      <c r="U27" s="221"/>
      <c r="V27" s="221"/>
      <c r="W27" s="221"/>
      <c r="X27" s="221"/>
      <c r="Y27" s="221"/>
      <c r="Z27" s="221"/>
      <c r="AA27" s="22"/>
      <c r="AB27" s="218">
        <v>0</v>
      </c>
      <c r="AC27" s="219"/>
      <c r="AD27" s="219"/>
      <c r="AE27" s="220"/>
      <c r="AF27" s="22"/>
      <c r="AG27" s="15">
        <v>1</v>
      </c>
      <c r="AH27" s="21"/>
      <c r="AI27" s="22"/>
      <c r="AJ27" s="11" t="s">
        <v>14</v>
      </c>
      <c r="AK27" s="22"/>
      <c r="AL27" s="33" t="str">
        <f>SUBSTITUTE(PROPER(AM27)," ","")</f>
        <v/>
      </c>
      <c r="AM27" s="222"/>
      <c r="AN27" s="222"/>
      <c r="AO27" s="222"/>
      <c r="AP27" s="222"/>
      <c r="AQ27" s="222"/>
      <c r="AR27" s="222"/>
      <c r="AS27" s="22"/>
      <c r="AT27" s="218">
        <v>0</v>
      </c>
      <c r="AU27" s="219"/>
      <c r="AV27" s="219"/>
      <c r="AW27" s="220"/>
      <c r="AX27" s="22"/>
      <c r="AY27" s="15">
        <v>1</v>
      </c>
      <c r="AZ27" s="21"/>
      <c r="BA27" s="22"/>
      <c r="BB27" s="11" t="s">
        <v>14</v>
      </c>
      <c r="BC27" s="34"/>
      <c r="BD27" s="34">
        <f t="shared" si="9"/>
        <v>0</v>
      </c>
      <c r="BE27" s="34">
        <f t="shared" si="1"/>
        <v>0</v>
      </c>
      <c r="BF27" s="57">
        <f>LEN(AM26)</f>
        <v>0</v>
      </c>
      <c r="BG27" s="25"/>
      <c r="BH27" s="25"/>
      <c r="BI27" s="25"/>
      <c r="BJ27" s="62" t="str">
        <f t="shared" si="7"/>
        <v>{, "", 14, 1, 0, 1, 14, 19,"V"},</v>
      </c>
      <c r="BK27" s="34"/>
      <c r="BL27" s="22"/>
      <c r="BM27" s="22"/>
      <c r="BN27" s="34"/>
      <c r="BO27" s="34"/>
      <c r="BP27" s="34"/>
      <c r="BQ27" s="34"/>
      <c r="BR27" s="34"/>
      <c r="BS27" s="34"/>
      <c r="BT27" s="34"/>
      <c r="BU27" s="34"/>
      <c r="BV27" s="34"/>
      <c r="BW27" s="22"/>
      <c r="BX27" s="22"/>
      <c r="BY27" s="22"/>
      <c r="BZ27" s="34"/>
      <c r="CA27" s="22"/>
      <c r="CB27" s="34" t="str">
        <f t="shared" si="2"/>
        <v>{, "", 14, 28, 0, 1, 14, 46,"V"},</v>
      </c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34" t="str">
        <f t="shared" si="3"/>
        <v>{, "", 14, 55, 0, 1, 14, 73,"V"},</v>
      </c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35"/>
    </row>
    <row r="28" spans="1:104" x14ac:dyDescent="0.25">
      <c r="A28">
        <v>15</v>
      </c>
      <c r="B28" s="33" t="str">
        <f t="shared" si="4"/>
        <v/>
      </c>
      <c r="C28" s="212"/>
      <c r="D28" s="212"/>
      <c r="E28" s="212"/>
      <c r="F28" s="212"/>
      <c r="G28" s="212"/>
      <c r="H28" s="212"/>
      <c r="I28" s="22"/>
      <c r="J28" s="218">
        <v>0</v>
      </c>
      <c r="K28" s="219"/>
      <c r="L28" s="219"/>
      <c r="M28" s="220"/>
      <c r="N28" s="22"/>
      <c r="O28" s="15">
        <v>1</v>
      </c>
      <c r="P28" s="21"/>
      <c r="Q28" s="22"/>
      <c r="R28" s="1" t="s">
        <v>14</v>
      </c>
      <c r="S28" s="22"/>
      <c r="T28" s="33" t="str">
        <f t="shared" si="0"/>
        <v/>
      </c>
      <c r="U28" s="221"/>
      <c r="V28" s="221"/>
      <c r="W28" s="221"/>
      <c r="X28" s="221"/>
      <c r="Y28" s="221"/>
      <c r="Z28" s="221"/>
      <c r="AA28" s="22"/>
      <c r="AB28" s="218">
        <v>0</v>
      </c>
      <c r="AC28" s="219"/>
      <c r="AD28" s="219"/>
      <c r="AE28" s="220"/>
      <c r="AF28" s="22"/>
      <c r="AG28" s="15">
        <v>0</v>
      </c>
      <c r="AH28" s="21"/>
      <c r="AI28" s="22"/>
      <c r="AJ28" s="11" t="s">
        <v>0</v>
      </c>
      <c r="AK28" s="22"/>
      <c r="AL28" s="33" t="str">
        <f t="shared" si="5"/>
        <v/>
      </c>
      <c r="AM28" s="222"/>
      <c r="AN28" s="222"/>
      <c r="AO28" s="222"/>
      <c r="AP28" s="222"/>
      <c r="AQ28" s="222"/>
      <c r="AR28" s="222"/>
      <c r="AS28" s="22"/>
      <c r="AT28" s="218">
        <v>0</v>
      </c>
      <c r="AU28" s="219"/>
      <c r="AV28" s="219"/>
      <c r="AW28" s="220"/>
      <c r="AX28" s="22"/>
      <c r="AY28" s="64">
        <v>0</v>
      </c>
      <c r="AZ28" s="22"/>
      <c r="BA28" s="22"/>
      <c r="BB28" s="65" t="s">
        <v>0</v>
      </c>
      <c r="BC28" s="34"/>
      <c r="BD28" s="34">
        <f t="shared" si="9"/>
        <v>0</v>
      </c>
      <c r="BE28" s="34">
        <f t="shared" si="1"/>
        <v>0</v>
      </c>
      <c r="BF28" s="57">
        <f>LEN(AM27)</f>
        <v>0</v>
      </c>
      <c r="BG28" s="25"/>
      <c r="BH28" s="25"/>
      <c r="BI28" s="25"/>
      <c r="BJ28" s="62" t="str">
        <f t="shared" si="7"/>
        <v>{, "", 15, 1, 0, 1, 15, 19,"V"},</v>
      </c>
      <c r="BK28" s="34"/>
      <c r="BL28" s="22"/>
      <c r="BM28" s="22"/>
      <c r="BN28" s="34"/>
      <c r="BO28" s="34"/>
      <c r="BP28" s="34"/>
      <c r="BQ28" s="34"/>
      <c r="BR28" s="34"/>
      <c r="BS28" s="34"/>
      <c r="BT28" s="34"/>
      <c r="BU28" s="34"/>
      <c r="BV28" s="34"/>
      <c r="BW28" s="22"/>
      <c r="BX28" s="22"/>
      <c r="BY28" s="22"/>
      <c r="BZ28" s="34"/>
      <c r="CA28" s="22"/>
      <c r="CB28" s="34" t="str">
        <f t="shared" si="2"/>
        <v>{, "", 15, 28, 0, 0, 15, 46,"A"},</v>
      </c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34" t="str">
        <f t="shared" si="3"/>
        <v>{, "", 15, 55, 0, 0, 15, 73,"A"},</v>
      </c>
      <c r="CP28" s="22"/>
      <c r="CQ28" s="22"/>
      <c r="CR28" s="22"/>
      <c r="CS28" s="22"/>
      <c r="CT28" s="22"/>
      <c r="CU28" s="22"/>
      <c r="CV28" s="22"/>
      <c r="CW28" s="22"/>
      <c r="CX28" s="22"/>
      <c r="CY28" s="22"/>
      <c r="CZ28" s="35"/>
    </row>
    <row r="29" spans="1:104" ht="15.75" thickBot="1" x14ac:dyDescent="0.3">
      <c r="A29">
        <v>16</v>
      </c>
      <c r="B29" s="53" t="str">
        <f t="shared" si="4"/>
        <v/>
      </c>
      <c r="C29" s="212"/>
      <c r="D29" s="212"/>
      <c r="E29" s="212"/>
      <c r="F29" s="212"/>
      <c r="G29" s="212"/>
      <c r="H29" s="212"/>
      <c r="I29" s="36"/>
      <c r="J29" s="223">
        <v>0</v>
      </c>
      <c r="K29" s="224"/>
      <c r="L29" s="224"/>
      <c r="M29" s="225"/>
      <c r="N29" s="36"/>
      <c r="O29" s="15">
        <v>0</v>
      </c>
      <c r="P29" s="54"/>
      <c r="Q29" s="36"/>
      <c r="R29" s="1" t="s">
        <v>14</v>
      </c>
      <c r="S29" s="36"/>
      <c r="T29" s="53" t="str">
        <f t="shared" si="0"/>
        <v/>
      </c>
      <c r="U29" s="226"/>
      <c r="V29" s="226"/>
      <c r="W29" s="226"/>
      <c r="X29" s="226"/>
      <c r="Y29" s="226"/>
      <c r="Z29" s="226"/>
      <c r="AA29" s="36"/>
      <c r="AB29" s="223">
        <v>0</v>
      </c>
      <c r="AC29" s="224"/>
      <c r="AD29" s="224"/>
      <c r="AE29" s="225"/>
      <c r="AF29" s="36"/>
      <c r="AG29" s="75">
        <v>0</v>
      </c>
      <c r="AH29" s="54"/>
      <c r="AI29" s="36"/>
      <c r="AJ29" s="55" t="s">
        <v>0</v>
      </c>
      <c r="AK29" s="36"/>
      <c r="AL29" s="53" t="str">
        <f t="shared" si="5"/>
        <v/>
      </c>
      <c r="AM29" s="234"/>
      <c r="AN29" s="234"/>
      <c r="AO29" s="234"/>
      <c r="AP29" s="234"/>
      <c r="AQ29" s="234"/>
      <c r="AR29" s="234"/>
      <c r="AS29" s="36"/>
      <c r="AT29" s="223">
        <v>0</v>
      </c>
      <c r="AU29" s="224"/>
      <c r="AV29" s="224"/>
      <c r="AW29" s="225"/>
      <c r="AX29" s="36"/>
      <c r="AY29" s="75">
        <v>0</v>
      </c>
      <c r="AZ29" s="54"/>
      <c r="BA29" s="36"/>
      <c r="BB29" s="55" t="s">
        <v>0</v>
      </c>
      <c r="BC29" s="37"/>
      <c r="BD29" s="37">
        <f t="shared" si="9"/>
        <v>0</v>
      </c>
      <c r="BE29" s="37">
        <f t="shared" si="1"/>
        <v>0</v>
      </c>
      <c r="BF29" s="58">
        <f t="shared" si="6"/>
        <v>0</v>
      </c>
      <c r="BG29" s="25"/>
      <c r="BH29" s="25"/>
      <c r="BI29" s="25"/>
      <c r="BJ29" s="62" t="str">
        <f t="shared" si="7"/>
        <v>{, "", 16, 1, 0, 0, 16, 19,"V"},</v>
      </c>
      <c r="BK29" s="34"/>
      <c r="BL29" s="22"/>
      <c r="BM29" s="22"/>
      <c r="BN29" s="34"/>
      <c r="BO29" s="34"/>
      <c r="BP29" s="34"/>
      <c r="BQ29" s="34"/>
      <c r="BR29" s="34"/>
      <c r="BS29" s="34"/>
      <c r="BT29" s="34"/>
      <c r="BU29" s="34"/>
      <c r="BV29" s="34"/>
      <c r="BW29" s="22"/>
      <c r="BX29" s="22"/>
      <c r="BY29" s="22"/>
      <c r="BZ29" s="34"/>
      <c r="CA29" s="22"/>
      <c r="CB29" s="34" t="str">
        <f t="shared" si="2"/>
        <v>{, "", 16, 28, 0, 0, 16, 46,"A"},</v>
      </c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34" t="str">
        <f t="shared" si="3"/>
        <v>{, "", 16, 55, 0, 0, 16, 73,"A"},</v>
      </c>
      <c r="CP29" s="22"/>
      <c r="CQ29" s="22"/>
      <c r="CR29" s="22"/>
      <c r="CS29" s="22"/>
      <c r="CT29" s="22"/>
      <c r="CU29" s="22"/>
      <c r="CV29" s="22"/>
      <c r="CW29" s="22"/>
      <c r="CX29" s="22"/>
      <c r="CY29" s="22"/>
      <c r="CZ29" s="35"/>
    </row>
    <row r="30" spans="1:104" x14ac:dyDescent="0.25">
      <c r="A30">
        <v>17</v>
      </c>
      <c r="B30" s="29" t="str">
        <f t="shared" si="4"/>
        <v/>
      </c>
      <c r="C30" s="212"/>
      <c r="D30" s="212"/>
      <c r="E30" s="212"/>
      <c r="F30" s="212"/>
      <c r="G30" s="212"/>
      <c r="H30" s="212"/>
      <c r="I30" s="30"/>
      <c r="J30" s="213">
        <v>0</v>
      </c>
      <c r="K30" s="214"/>
      <c r="L30" s="214"/>
      <c r="M30" s="215"/>
      <c r="N30" s="30"/>
      <c r="O30" s="15">
        <v>0</v>
      </c>
      <c r="P30" s="52"/>
      <c r="Q30" s="30"/>
      <c r="R30" s="1" t="s">
        <v>14</v>
      </c>
      <c r="S30" s="30"/>
      <c r="T30" s="29" t="str">
        <f t="shared" si="0"/>
        <v/>
      </c>
      <c r="U30" s="216"/>
      <c r="V30" s="216"/>
      <c r="W30" s="216"/>
      <c r="X30" s="216"/>
      <c r="Y30" s="216"/>
      <c r="Z30" s="216"/>
      <c r="AA30" s="30"/>
      <c r="AB30" s="213">
        <v>0</v>
      </c>
      <c r="AC30" s="214"/>
      <c r="AD30" s="214"/>
      <c r="AE30" s="215"/>
      <c r="AF30" s="30"/>
      <c r="AG30" s="51">
        <v>0</v>
      </c>
      <c r="AH30" s="52"/>
      <c r="AI30" s="30"/>
      <c r="AJ30" s="9" t="s">
        <v>0</v>
      </c>
      <c r="AK30" s="30"/>
      <c r="AL30" s="33" t="str">
        <f t="shared" si="5"/>
        <v/>
      </c>
      <c r="AM30" s="235"/>
      <c r="AN30" s="235"/>
      <c r="AO30" s="235"/>
      <c r="AP30" s="235"/>
      <c r="AQ30" s="235"/>
      <c r="AR30" s="235"/>
      <c r="AS30" s="22"/>
      <c r="AT30" s="236">
        <v>0</v>
      </c>
      <c r="AU30" s="237"/>
      <c r="AV30" s="237"/>
      <c r="AW30" s="238"/>
      <c r="AX30" s="22"/>
      <c r="AY30" s="59">
        <v>0</v>
      </c>
      <c r="AZ30" s="21"/>
      <c r="BA30" s="22"/>
      <c r="BB30" s="60" t="s">
        <v>0</v>
      </c>
      <c r="BC30" s="34"/>
      <c r="BD30" s="34">
        <f t="shared" si="9"/>
        <v>0</v>
      </c>
      <c r="BE30" s="34">
        <f t="shared" si="1"/>
        <v>0</v>
      </c>
      <c r="BF30" s="57">
        <f t="shared" si="6"/>
        <v>0</v>
      </c>
      <c r="BG30" s="25"/>
      <c r="BH30" s="25"/>
      <c r="BI30" s="25"/>
      <c r="BJ30" s="62" t="str">
        <f t="shared" si="7"/>
        <v>{, "", 17, 1, 0, 0, 17, 19,"V"},</v>
      </c>
      <c r="BK30" s="34"/>
      <c r="BL30" s="22"/>
      <c r="BM30" s="22"/>
      <c r="BN30" s="34"/>
      <c r="BO30" s="34"/>
      <c r="BP30" s="34"/>
      <c r="BQ30" s="34"/>
      <c r="BR30" s="34"/>
      <c r="BS30" s="34"/>
      <c r="BT30" s="34"/>
      <c r="BU30" s="34"/>
      <c r="BV30" s="34"/>
      <c r="BW30" s="22"/>
      <c r="BX30" s="22"/>
      <c r="BY30" s="22"/>
      <c r="BZ30" s="34"/>
      <c r="CA30" s="22"/>
      <c r="CB30" s="34" t="str">
        <f t="shared" si="2"/>
        <v>{, "", 17, 28, 0, 0, 17, 46,"A"},</v>
      </c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34" t="str">
        <f t="shared" si="3"/>
        <v>{, "", 17, 55, 0, 0, 17, 73,"A"},</v>
      </c>
      <c r="CP30" s="22"/>
      <c r="CQ30" s="22"/>
      <c r="CR30" s="22"/>
      <c r="CS30" s="22"/>
      <c r="CT30" s="22"/>
      <c r="CU30" s="22"/>
      <c r="CV30" s="22"/>
      <c r="CW30" s="22"/>
      <c r="CX30" s="22"/>
      <c r="CY30" s="22"/>
      <c r="CZ30" s="35"/>
    </row>
    <row r="31" spans="1:104" x14ac:dyDescent="0.25">
      <c r="A31">
        <v>18</v>
      </c>
      <c r="B31" s="33" t="str">
        <f t="shared" si="4"/>
        <v/>
      </c>
      <c r="C31" s="212"/>
      <c r="D31" s="212"/>
      <c r="E31" s="212"/>
      <c r="F31" s="212"/>
      <c r="G31" s="212"/>
      <c r="H31" s="212"/>
      <c r="I31" s="22"/>
      <c r="J31" s="218">
        <v>0</v>
      </c>
      <c r="K31" s="219"/>
      <c r="L31" s="219"/>
      <c r="M31" s="220"/>
      <c r="N31" s="22"/>
      <c r="O31" s="15">
        <v>0</v>
      </c>
      <c r="P31" s="21"/>
      <c r="Q31" s="22"/>
      <c r="R31" s="1" t="s">
        <v>14</v>
      </c>
      <c r="S31" s="22"/>
      <c r="T31" s="33" t="str">
        <f t="shared" si="0"/>
        <v/>
      </c>
      <c r="U31" s="221"/>
      <c r="V31" s="221"/>
      <c r="W31" s="221"/>
      <c r="X31" s="221"/>
      <c r="Y31" s="221"/>
      <c r="Z31" s="221"/>
      <c r="AA31" s="22"/>
      <c r="AB31" s="218">
        <v>0</v>
      </c>
      <c r="AC31" s="219"/>
      <c r="AD31" s="219"/>
      <c r="AE31" s="220"/>
      <c r="AF31" s="22"/>
      <c r="AG31" s="15">
        <v>1</v>
      </c>
      <c r="AH31" s="21"/>
      <c r="AI31" s="22"/>
      <c r="AJ31" s="11" t="s">
        <v>14</v>
      </c>
      <c r="AK31" s="22"/>
      <c r="AL31" s="33" t="str">
        <f t="shared" si="5"/>
        <v/>
      </c>
      <c r="AM31" s="222"/>
      <c r="AN31" s="222"/>
      <c r="AO31" s="222"/>
      <c r="AP31" s="222"/>
      <c r="AQ31" s="222"/>
      <c r="AR31" s="222"/>
      <c r="AS31" s="22"/>
      <c r="AT31" s="218">
        <v>0</v>
      </c>
      <c r="AU31" s="219"/>
      <c r="AV31" s="219"/>
      <c r="AW31" s="220"/>
      <c r="AX31" s="22"/>
      <c r="AY31" s="15">
        <v>0</v>
      </c>
      <c r="AZ31" s="21"/>
      <c r="BA31" s="22"/>
      <c r="BB31" s="11" t="s">
        <v>0</v>
      </c>
      <c r="BC31" s="34"/>
      <c r="BD31" s="34">
        <f t="shared" si="9"/>
        <v>0</v>
      </c>
      <c r="BE31" s="34">
        <f t="shared" si="1"/>
        <v>0</v>
      </c>
      <c r="BF31" s="57">
        <f t="shared" si="6"/>
        <v>0</v>
      </c>
      <c r="BG31" s="25"/>
      <c r="BH31" s="25"/>
      <c r="BI31" s="25"/>
      <c r="BJ31" s="62" t="str">
        <f t="shared" si="7"/>
        <v>{, "", 18, 1, 0, 0, 18, 19,"V"},</v>
      </c>
      <c r="BK31" s="34"/>
      <c r="BL31" s="22"/>
      <c r="BM31" s="22"/>
      <c r="BN31" s="34"/>
      <c r="BO31" s="34"/>
      <c r="BP31" s="34"/>
      <c r="BQ31" s="34"/>
      <c r="BR31" s="34"/>
      <c r="BS31" s="34"/>
      <c r="BT31" s="34"/>
      <c r="BU31" s="34"/>
      <c r="BV31" s="34"/>
      <c r="BW31" s="22"/>
      <c r="BX31" s="22"/>
      <c r="BY31" s="22"/>
      <c r="BZ31" s="34"/>
      <c r="CA31" s="22"/>
      <c r="CB31" s="34" t="str">
        <f t="shared" si="2"/>
        <v>{, "", 18, 28, 0, 1, 18, 46,"V"},</v>
      </c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34" t="str">
        <f t="shared" si="3"/>
        <v>{, "", 18, 55, 0, 0, 18, 73,"A"},</v>
      </c>
      <c r="CP31" s="22"/>
      <c r="CQ31" s="22"/>
      <c r="CR31" s="22"/>
      <c r="CS31" s="22"/>
      <c r="CT31" s="22"/>
      <c r="CU31" s="22"/>
      <c r="CV31" s="22"/>
      <c r="CW31" s="22"/>
      <c r="CX31" s="22"/>
      <c r="CY31" s="22"/>
      <c r="CZ31" s="35"/>
    </row>
    <row r="32" spans="1:104" x14ac:dyDescent="0.25">
      <c r="A32">
        <v>19</v>
      </c>
      <c r="B32" s="33" t="str">
        <f t="shared" si="4"/>
        <v/>
      </c>
      <c r="C32" s="212"/>
      <c r="D32" s="212"/>
      <c r="E32" s="212"/>
      <c r="F32" s="212"/>
      <c r="G32" s="212"/>
      <c r="H32" s="212"/>
      <c r="I32" s="22"/>
      <c r="J32" s="218">
        <v>0</v>
      </c>
      <c r="K32" s="219"/>
      <c r="L32" s="219"/>
      <c r="M32" s="220"/>
      <c r="N32" s="22"/>
      <c r="O32" s="15">
        <v>0</v>
      </c>
      <c r="P32" s="21"/>
      <c r="Q32" s="22"/>
      <c r="R32" s="1" t="s">
        <v>14</v>
      </c>
      <c r="S32" s="22"/>
      <c r="T32" s="33" t="str">
        <f t="shared" si="0"/>
        <v/>
      </c>
      <c r="U32" s="221"/>
      <c r="V32" s="221"/>
      <c r="W32" s="221"/>
      <c r="X32" s="221"/>
      <c r="Y32" s="221"/>
      <c r="Z32" s="221"/>
      <c r="AA32" s="22"/>
      <c r="AB32" s="218">
        <v>0</v>
      </c>
      <c r="AC32" s="219"/>
      <c r="AD32" s="219"/>
      <c r="AE32" s="220"/>
      <c r="AF32" s="22"/>
      <c r="AG32" s="15">
        <v>1</v>
      </c>
      <c r="AH32" s="21"/>
      <c r="AI32" s="22"/>
      <c r="AJ32" s="11" t="s">
        <v>14</v>
      </c>
      <c r="AK32" s="22"/>
      <c r="AL32" s="33" t="str">
        <f t="shared" si="5"/>
        <v/>
      </c>
      <c r="AM32" s="222"/>
      <c r="AN32" s="222"/>
      <c r="AO32" s="222"/>
      <c r="AP32" s="222"/>
      <c r="AQ32" s="222"/>
      <c r="AR32" s="222"/>
      <c r="AS32" s="22"/>
      <c r="AT32" s="218">
        <v>0</v>
      </c>
      <c r="AU32" s="219"/>
      <c r="AV32" s="219"/>
      <c r="AW32" s="220"/>
      <c r="AX32" s="22"/>
      <c r="AY32" s="15">
        <v>0</v>
      </c>
      <c r="AZ32" s="21"/>
      <c r="BA32" s="22"/>
      <c r="BB32" s="11" t="s">
        <v>0</v>
      </c>
      <c r="BC32" s="34"/>
      <c r="BD32" s="34">
        <f t="shared" si="9"/>
        <v>0</v>
      </c>
      <c r="BE32" s="34">
        <f t="shared" si="1"/>
        <v>0</v>
      </c>
      <c r="BF32" s="57">
        <f t="shared" si="6"/>
        <v>0</v>
      </c>
      <c r="BG32" s="25"/>
      <c r="BH32" s="25"/>
      <c r="BI32" s="25"/>
      <c r="BJ32" s="62" t="str">
        <f t="shared" si="7"/>
        <v>{, "", 19, 1, 0, 0, 19, 19,"V"},</v>
      </c>
      <c r="BK32" s="34"/>
      <c r="BL32" s="22"/>
      <c r="BM32" s="22"/>
      <c r="BN32" s="34"/>
      <c r="BO32" s="34"/>
      <c r="BP32" s="34"/>
      <c r="BQ32" s="34"/>
      <c r="BR32" s="34"/>
      <c r="BS32" s="34"/>
      <c r="BT32" s="34"/>
      <c r="BU32" s="34"/>
      <c r="BV32" s="34"/>
      <c r="BW32" s="22"/>
      <c r="BX32" s="22"/>
      <c r="BY32" s="22"/>
      <c r="BZ32" s="34"/>
      <c r="CA32" s="22"/>
      <c r="CB32" s="34" t="str">
        <f t="shared" si="2"/>
        <v>{, "", 19, 28, 0, 1, 19, 46,"V"},</v>
      </c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34" t="str">
        <f t="shared" si="3"/>
        <v>{, "", 19, 55, 0, 0, 19, 73,"A"},</v>
      </c>
      <c r="CP32" s="22"/>
      <c r="CQ32" s="22"/>
      <c r="CR32" s="22"/>
      <c r="CS32" s="22"/>
      <c r="CT32" s="22"/>
      <c r="CU32" s="22"/>
      <c r="CV32" s="22"/>
      <c r="CW32" s="22"/>
      <c r="CX32" s="22"/>
      <c r="CY32" s="22"/>
      <c r="CZ32" s="35"/>
    </row>
    <row r="33" spans="1:117" x14ac:dyDescent="0.25">
      <c r="A33">
        <v>20</v>
      </c>
      <c r="B33" s="33" t="str">
        <f t="shared" si="4"/>
        <v/>
      </c>
      <c r="C33" s="212"/>
      <c r="D33" s="212"/>
      <c r="E33" s="212"/>
      <c r="F33" s="212"/>
      <c r="G33" s="212"/>
      <c r="H33" s="212"/>
      <c r="I33" s="22"/>
      <c r="J33" s="218">
        <v>0</v>
      </c>
      <c r="K33" s="219"/>
      <c r="L33" s="219"/>
      <c r="M33" s="220"/>
      <c r="N33" s="22"/>
      <c r="O33" s="15">
        <v>0</v>
      </c>
      <c r="P33" s="21"/>
      <c r="Q33" s="22"/>
      <c r="R33" s="1" t="s">
        <v>14</v>
      </c>
      <c r="S33" s="22"/>
      <c r="T33" s="33" t="str">
        <f t="shared" si="0"/>
        <v/>
      </c>
      <c r="U33" s="221"/>
      <c r="V33" s="221"/>
      <c r="W33" s="221"/>
      <c r="X33" s="221"/>
      <c r="Y33" s="221"/>
      <c r="Z33" s="221"/>
      <c r="AA33" s="22"/>
      <c r="AB33" s="218">
        <v>0</v>
      </c>
      <c r="AC33" s="219"/>
      <c r="AD33" s="219"/>
      <c r="AE33" s="220"/>
      <c r="AF33" s="22"/>
      <c r="AG33" s="15">
        <v>1</v>
      </c>
      <c r="AH33" s="21"/>
      <c r="AI33" s="22"/>
      <c r="AJ33" s="11" t="s">
        <v>14</v>
      </c>
      <c r="AK33" s="22"/>
      <c r="AL33" s="33" t="str">
        <f t="shared" si="5"/>
        <v/>
      </c>
      <c r="AM33" s="222"/>
      <c r="AN33" s="222"/>
      <c r="AO33" s="222"/>
      <c r="AP33" s="222"/>
      <c r="AQ33" s="222"/>
      <c r="AR33" s="222"/>
      <c r="AS33" s="22"/>
      <c r="AT33" s="218">
        <v>0</v>
      </c>
      <c r="AU33" s="219"/>
      <c r="AV33" s="219"/>
      <c r="AW33" s="220"/>
      <c r="AX33" s="22"/>
      <c r="AY33" s="15">
        <v>0</v>
      </c>
      <c r="AZ33" s="21"/>
      <c r="BA33" s="22"/>
      <c r="BB33" s="11" t="s">
        <v>0</v>
      </c>
      <c r="BC33" s="34"/>
      <c r="BD33" s="34">
        <f t="shared" si="9"/>
        <v>0</v>
      </c>
      <c r="BE33" s="34">
        <f t="shared" si="1"/>
        <v>0</v>
      </c>
      <c r="BF33" s="57">
        <f t="shared" si="6"/>
        <v>0</v>
      </c>
      <c r="BG33" s="25"/>
      <c r="BH33" s="25"/>
      <c r="BI33" s="25"/>
      <c r="BJ33" s="62" t="str">
        <f t="shared" si="7"/>
        <v>{, "", 20, 1, 0, 0, 20, 19,"V"},</v>
      </c>
      <c r="BK33" s="34"/>
      <c r="BL33" s="22"/>
      <c r="BM33" s="22"/>
      <c r="BN33" s="34"/>
      <c r="BO33" s="34"/>
      <c r="BP33" s="34"/>
      <c r="BQ33" s="34"/>
      <c r="BR33" s="34"/>
      <c r="BS33" s="34"/>
      <c r="BT33" s="34"/>
      <c r="BU33" s="34"/>
      <c r="BV33" s="34"/>
      <c r="BW33" s="22"/>
      <c r="BX33" s="22"/>
      <c r="BY33" s="22"/>
      <c r="BZ33" s="34"/>
      <c r="CA33" s="22"/>
      <c r="CB33" s="34" t="str">
        <f t="shared" si="2"/>
        <v>{, "", 20, 28, 0, 1, 20, 46,"V"},</v>
      </c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34" t="str">
        <f t="shared" si="3"/>
        <v>{, "", 20, 55, 0, 0, 20, 73,"A"},</v>
      </c>
      <c r="CP33" s="22"/>
      <c r="CQ33" s="22"/>
      <c r="CR33" s="22"/>
      <c r="CS33" s="22"/>
      <c r="CT33" s="22"/>
      <c r="CU33" s="22"/>
      <c r="CV33" s="22"/>
      <c r="CW33" s="22"/>
      <c r="CX33" s="22"/>
      <c r="CY33" s="22"/>
      <c r="CZ33" s="35"/>
    </row>
    <row r="34" spans="1:117" x14ac:dyDescent="0.25">
      <c r="A34">
        <v>21</v>
      </c>
      <c r="B34" s="33" t="str">
        <f t="shared" si="4"/>
        <v/>
      </c>
      <c r="C34" s="212"/>
      <c r="D34" s="212"/>
      <c r="E34" s="212"/>
      <c r="F34" s="212"/>
      <c r="G34" s="212"/>
      <c r="H34" s="212"/>
      <c r="I34" s="22"/>
      <c r="J34" s="218">
        <v>0</v>
      </c>
      <c r="K34" s="219"/>
      <c r="L34" s="219"/>
      <c r="M34" s="220"/>
      <c r="N34" s="22"/>
      <c r="O34" s="15">
        <v>0</v>
      </c>
      <c r="P34" s="21"/>
      <c r="Q34" s="22"/>
      <c r="R34" s="1" t="s">
        <v>14</v>
      </c>
      <c r="S34" s="22"/>
      <c r="T34" s="33" t="str">
        <f t="shared" si="0"/>
        <v/>
      </c>
      <c r="U34" s="221"/>
      <c r="V34" s="221"/>
      <c r="W34" s="221"/>
      <c r="X34" s="221"/>
      <c r="Y34" s="221"/>
      <c r="Z34" s="221"/>
      <c r="AA34" s="22"/>
      <c r="AB34" s="218">
        <v>0</v>
      </c>
      <c r="AC34" s="219"/>
      <c r="AD34" s="219"/>
      <c r="AE34" s="220"/>
      <c r="AF34" s="22"/>
      <c r="AG34" s="15">
        <v>0</v>
      </c>
      <c r="AH34" s="21"/>
      <c r="AI34" s="22"/>
      <c r="AJ34" s="11" t="s">
        <v>14</v>
      </c>
      <c r="AK34" s="22"/>
      <c r="AL34" s="33" t="str">
        <f t="shared" si="5"/>
        <v/>
      </c>
      <c r="AM34" s="222"/>
      <c r="AN34" s="222"/>
      <c r="AO34" s="222"/>
      <c r="AP34" s="222"/>
      <c r="AQ34" s="222"/>
      <c r="AR34" s="222"/>
      <c r="AS34" s="22"/>
      <c r="AT34" s="218">
        <v>0</v>
      </c>
      <c r="AU34" s="219"/>
      <c r="AV34" s="219"/>
      <c r="AW34" s="220"/>
      <c r="AX34" s="22"/>
      <c r="AY34" s="15">
        <v>0</v>
      </c>
      <c r="AZ34" s="21"/>
      <c r="BA34" s="22"/>
      <c r="BB34" s="11" t="s">
        <v>0</v>
      </c>
      <c r="BC34" s="34"/>
      <c r="BD34" s="34">
        <f t="shared" si="9"/>
        <v>0</v>
      </c>
      <c r="BE34" s="34">
        <f t="shared" si="1"/>
        <v>0</v>
      </c>
      <c r="BF34" s="57">
        <f t="shared" si="6"/>
        <v>0</v>
      </c>
      <c r="BG34" s="25"/>
      <c r="BH34" s="25"/>
      <c r="BI34" s="25"/>
      <c r="BJ34" s="62" t="str">
        <f t="shared" si="7"/>
        <v>{, "", 21, 1, 0, 0, 21, 19,"V"},</v>
      </c>
      <c r="BK34" s="34"/>
      <c r="BL34" s="22"/>
      <c r="BM34" s="22"/>
      <c r="BN34" s="34"/>
      <c r="BO34" s="34"/>
      <c r="BP34" s="34"/>
      <c r="BQ34" s="34"/>
      <c r="BR34" s="34"/>
      <c r="BS34" s="34"/>
      <c r="BT34" s="34"/>
      <c r="BU34" s="34"/>
      <c r="BV34" s="34"/>
      <c r="BW34" s="22"/>
      <c r="BX34" s="22"/>
      <c r="BY34" s="22"/>
      <c r="BZ34" s="34"/>
      <c r="CA34" s="22"/>
      <c r="CB34" s="34" t="str">
        <f t="shared" si="2"/>
        <v>{, "", 21, 28, 0, 0, 21, 46,"V"},</v>
      </c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34" t="str">
        <f t="shared" si="3"/>
        <v>{, "", 21, 55, 0, 0, 21, 73,"A"},</v>
      </c>
      <c r="CP34" s="22"/>
      <c r="CQ34" s="22"/>
      <c r="CR34" s="22"/>
      <c r="CS34" s="22"/>
      <c r="CT34" s="22"/>
      <c r="CU34" s="22"/>
      <c r="CV34" s="22"/>
      <c r="CW34" s="22"/>
      <c r="CX34" s="22"/>
      <c r="CY34" s="22"/>
      <c r="CZ34" s="35"/>
    </row>
    <row r="35" spans="1:117" x14ac:dyDescent="0.25">
      <c r="A35">
        <v>22</v>
      </c>
      <c r="B35" s="33" t="str">
        <f t="shared" si="4"/>
        <v/>
      </c>
      <c r="C35" s="212"/>
      <c r="D35" s="212"/>
      <c r="E35" s="212"/>
      <c r="F35" s="212"/>
      <c r="G35" s="212"/>
      <c r="H35" s="212"/>
      <c r="I35" s="22"/>
      <c r="J35" s="218">
        <v>0</v>
      </c>
      <c r="K35" s="219"/>
      <c r="L35" s="219"/>
      <c r="M35" s="220"/>
      <c r="N35" s="22"/>
      <c r="O35" s="15">
        <v>0</v>
      </c>
      <c r="P35" s="21"/>
      <c r="Q35" s="22"/>
      <c r="R35" s="1" t="s">
        <v>14</v>
      </c>
      <c r="S35" s="22"/>
      <c r="T35" s="33" t="str">
        <f t="shared" si="0"/>
        <v/>
      </c>
      <c r="U35" s="221"/>
      <c r="V35" s="221"/>
      <c r="W35" s="221"/>
      <c r="X35" s="221"/>
      <c r="Y35" s="221"/>
      <c r="Z35" s="221"/>
      <c r="AA35" s="22"/>
      <c r="AB35" s="218">
        <v>0</v>
      </c>
      <c r="AC35" s="219"/>
      <c r="AD35" s="219"/>
      <c r="AE35" s="220"/>
      <c r="AF35" s="22"/>
      <c r="AG35" s="15">
        <v>0</v>
      </c>
      <c r="AH35" s="21"/>
      <c r="AI35" s="22"/>
      <c r="AJ35" s="11" t="s">
        <v>14</v>
      </c>
      <c r="AK35" s="22"/>
      <c r="AL35" s="33" t="str">
        <f t="shared" si="5"/>
        <v/>
      </c>
      <c r="AM35" s="222"/>
      <c r="AN35" s="222"/>
      <c r="AO35" s="222"/>
      <c r="AP35" s="222"/>
      <c r="AQ35" s="222"/>
      <c r="AR35" s="222"/>
      <c r="AS35" s="22"/>
      <c r="AT35" s="218">
        <v>0</v>
      </c>
      <c r="AU35" s="219"/>
      <c r="AV35" s="219"/>
      <c r="AW35" s="220"/>
      <c r="AX35" s="22"/>
      <c r="AY35" s="15">
        <v>1</v>
      </c>
      <c r="AZ35" s="21"/>
      <c r="BA35" s="22"/>
      <c r="BB35" s="11" t="s">
        <v>14</v>
      </c>
      <c r="BC35" s="34"/>
      <c r="BD35" s="34">
        <f t="shared" si="9"/>
        <v>0</v>
      </c>
      <c r="BE35" s="34">
        <f t="shared" si="1"/>
        <v>0</v>
      </c>
      <c r="BF35" s="57">
        <f t="shared" si="6"/>
        <v>0</v>
      </c>
      <c r="BG35" s="25"/>
      <c r="BH35" s="25"/>
      <c r="BI35" s="25"/>
      <c r="BJ35" s="62" t="str">
        <f t="shared" si="7"/>
        <v>{, "", 22, 1, 0, 0, 22, 19,"V"},</v>
      </c>
      <c r="BK35" s="34"/>
      <c r="BL35" s="22"/>
      <c r="BM35" s="22"/>
      <c r="BN35" s="34"/>
      <c r="BO35" s="34"/>
      <c r="BP35" s="34"/>
      <c r="BQ35" s="34"/>
      <c r="BR35" s="34"/>
      <c r="BS35" s="34"/>
      <c r="BT35" s="34"/>
      <c r="BU35" s="34"/>
      <c r="BV35" s="34"/>
      <c r="BW35" s="22"/>
      <c r="BX35" s="22"/>
      <c r="BY35" s="22"/>
      <c r="BZ35" s="34"/>
      <c r="CA35" s="22"/>
      <c r="CB35" s="34" t="str">
        <f t="shared" si="2"/>
        <v>{, "", 22, 28, 0, 0, 22, 46,"V"},</v>
      </c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34" t="str">
        <f t="shared" si="3"/>
        <v>{, "", 22, 55, 0, 1, 22, 73,"V"},</v>
      </c>
      <c r="CP35" s="22"/>
      <c r="CQ35" s="22"/>
      <c r="CR35" s="22"/>
      <c r="CS35" s="22"/>
      <c r="CT35" s="22"/>
      <c r="CU35" s="22"/>
      <c r="CV35" s="22"/>
      <c r="CW35" s="22"/>
      <c r="CX35" s="22"/>
      <c r="CY35" s="22"/>
      <c r="CZ35" s="35"/>
    </row>
    <row r="36" spans="1:117" x14ac:dyDescent="0.25">
      <c r="A36">
        <v>23</v>
      </c>
      <c r="B36" s="33" t="str">
        <f t="shared" si="4"/>
        <v/>
      </c>
      <c r="C36" s="212"/>
      <c r="D36" s="212"/>
      <c r="E36" s="212"/>
      <c r="F36" s="212"/>
      <c r="G36" s="212"/>
      <c r="H36" s="212"/>
      <c r="I36" s="22"/>
      <c r="J36" s="218">
        <v>0</v>
      </c>
      <c r="K36" s="219"/>
      <c r="L36" s="219"/>
      <c r="M36" s="220"/>
      <c r="N36" s="22"/>
      <c r="O36" s="15">
        <v>0</v>
      </c>
      <c r="P36" s="21"/>
      <c r="Q36" s="22"/>
      <c r="R36" s="1" t="s">
        <v>14</v>
      </c>
      <c r="S36" s="22"/>
      <c r="T36" s="33" t="str">
        <f t="shared" si="0"/>
        <v/>
      </c>
      <c r="U36" s="221"/>
      <c r="V36" s="221"/>
      <c r="W36" s="221"/>
      <c r="X36" s="221"/>
      <c r="Y36" s="221"/>
      <c r="Z36" s="221"/>
      <c r="AA36" s="22"/>
      <c r="AB36" s="218">
        <v>0</v>
      </c>
      <c r="AC36" s="219"/>
      <c r="AD36" s="219"/>
      <c r="AE36" s="220"/>
      <c r="AF36" s="22"/>
      <c r="AG36" s="15">
        <v>0</v>
      </c>
      <c r="AH36" s="21"/>
      <c r="AI36" s="22"/>
      <c r="AJ36" s="11" t="s">
        <v>14</v>
      </c>
      <c r="AK36" s="22"/>
      <c r="AL36" s="33" t="str">
        <f t="shared" si="5"/>
        <v/>
      </c>
      <c r="AM36" s="222"/>
      <c r="AN36" s="222"/>
      <c r="AO36" s="222"/>
      <c r="AP36" s="222"/>
      <c r="AQ36" s="222"/>
      <c r="AR36" s="222"/>
      <c r="AS36" s="22"/>
      <c r="AT36" s="218">
        <v>0</v>
      </c>
      <c r="AU36" s="219"/>
      <c r="AV36" s="219"/>
      <c r="AW36" s="220"/>
      <c r="AX36" s="22"/>
      <c r="AY36" s="15">
        <v>1</v>
      </c>
      <c r="AZ36" s="21"/>
      <c r="BA36" s="22"/>
      <c r="BB36" s="11" t="s">
        <v>14</v>
      </c>
      <c r="BC36" s="34"/>
      <c r="BD36" s="34">
        <f t="shared" si="9"/>
        <v>0</v>
      </c>
      <c r="BE36" s="34">
        <f t="shared" si="1"/>
        <v>0</v>
      </c>
      <c r="BF36" s="57">
        <f t="shared" si="6"/>
        <v>0</v>
      </c>
      <c r="BG36" s="25"/>
      <c r="BH36" s="25"/>
      <c r="BI36" s="25"/>
      <c r="BJ36" s="62" t="str">
        <f t="shared" si="7"/>
        <v>{, "", 23, 1, 0, 0, 23, 19,"V"},</v>
      </c>
      <c r="BK36" s="34"/>
      <c r="BL36" s="22"/>
      <c r="BM36" s="22"/>
      <c r="BN36" s="34"/>
      <c r="BO36" s="34"/>
      <c r="BP36" s="34"/>
      <c r="BQ36" s="34"/>
      <c r="BR36" s="34"/>
      <c r="BS36" s="34"/>
      <c r="BT36" s="34"/>
      <c r="BU36" s="34"/>
      <c r="BV36" s="34"/>
      <c r="BW36" s="22"/>
      <c r="BX36" s="22"/>
      <c r="BY36" s="22"/>
      <c r="BZ36" s="34"/>
      <c r="CA36" s="22"/>
      <c r="CB36" s="34" t="str">
        <f t="shared" si="2"/>
        <v>{, "", 23, 28, 0, 0, 23, 46,"V"},</v>
      </c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34" t="str">
        <f t="shared" si="3"/>
        <v>{, "", 23, 55, 0, 1, 23, 73,"V"},</v>
      </c>
      <c r="CP36" s="22"/>
      <c r="CQ36" s="22"/>
      <c r="CR36" s="22"/>
      <c r="CS36" s="22"/>
      <c r="CT36" s="22"/>
      <c r="CU36" s="22"/>
      <c r="CV36" s="22"/>
      <c r="CW36" s="22"/>
      <c r="CX36" s="22"/>
      <c r="CY36" s="22"/>
      <c r="CZ36" s="35"/>
    </row>
    <row r="37" spans="1:117" ht="15.75" thickBot="1" x14ac:dyDescent="0.3">
      <c r="A37">
        <v>24</v>
      </c>
      <c r="B37" s="53" t="str">
        <f>SUBSTITUTE(PROPER(C37)," ","")</f>
        <v/>
      </c>
      <c r="C37" s="212"/>
      <c r="D37" s="212"/>
      <c r="E37" s="212"/>
      <c r="F37" s="212"/>
      <c r="G37" s="212"/>
      <c r="H37" s="212"/>
      <c r="I37" s="36"/>
      <c r="J37" s="223">
        <v>0</v>
      </c>
      <c r="K37" s="224"/>
      <c r="L37" s="224"/>
      <c r="M37" s="225"/>
      <c r="N37" s="36"/>
      <c r="O37" s="15">
        <v>0</v>
      </c>
      <c r="P37" s="54"/>
      <c r="Q37" s="36"/>
      <c r="R37" s="1" t="s">
        <v>14</v>
      </c>
      <c r="S37" s="36"/>
      <c r="T37" s="53" t="str">
        <f t="shared" si="0"/>
        <v/>
      </c>
      <c r="U37" s="226"/>
      <c r="V37" s="226"/>
      <c r="W37" s="226"/>
      <c r="X37" s="226"/>
      <c r="Y37" s="226"/>
      <c r="Z37" s="226"/>
      <c r="AA37" s="36"/>
      <c r="AB37" s="223">
        <v>0</v>
      </c>
      <c r="AC37" s="224"/>
      <c r="AD37" s="224"/>
      <c r="AE37" s="225"/>
      <c r="AF37" s="36"/>
      <c r="AG37" s="75">
        <v>1</v>
      </c>
      <c r="AH37" s="54"/>
      <c r="AI37" s="36"/>
      <c r="AJ37" s="55" t="s">
        <v>14</v>
      </c>
      <c r="AK37" s="36"/>
      <c r="AL37" s="53" t="str">
        <f t="shared" si="5"/>
        <v/>
      </c>
      <c r="AM37" s="234"/>
      <c r="AN37" s="234"/>
      <c r="AO37" s="234"/>
      <c r="AP37" s="234"/>
      <c r="AQ37" s="234"/>
      <c r="AR37" s="234"/>
      <c r="AS37" s="36"/>
      <c r="AT37" s="223">
        <v>0</v>
      </c>
      <c r="AU37" s="224"/>
      <c r="AV37" s="224"/>
      <c r="AW37" s="225"/>
      <c r="AX37" s="36"/>
      <c r="AY37" s="75">
        <v>0</v>
      </c>
      <c r="AZ37" s="54"/>
      <c r="BA37" s="36"/>
      <c r="BB37" s="55" t="s">
        <v>0</v>
      </c>
      <c r="BC37" s="37"/>
      <c r="BD37" s="34">
        <f t="shared" si="9"/>
        <v>0</v>
      </c>
      <c r="BE37" s="37">
        <f t="shared" si="1"/>
        <v>0</v>
      </c>
      <c r="BF37" s="58">
        <f t="shared" si="6"/>
        <v>0</v>
      </c>
      <c r="BG37" s="25"/>
      <c r="BH37" s="25"/>
      <c r="BI37" s="25"/>
      <c r="BJ37" s="63" t="str">
        <f t="shared" si="7"/>
        <v>{, "", 24, 1, 0, 0, 24, 19,"V"},</v>
      </c>
      <c r="BK37" s="37"/>
      <c r="BL37" s="36"/>
      <c r="BM37" s="36"/>
      <c r="BN37" s="37"/>
      <c r="BO37" s="37"/>
      <c r="BP37" s="37"/>
      <c r="BQ37" s="37"/>
      <c r="BR37" s="37"/>
      <c r="BS37" s="37"/>
      <c r="BT37" s="37"/>
      <c r="BU37" s="37"/>
      <c r="BV37" s="37"/>
      <c r="BW37" s="36"/>
      <c r="BX37" s="36"/>
      <c r="BY37" s="36"/>
      <c r="BZ37" s="37"/>
      <c r="CA37" s="36"/>
      <c r="CB37" s="37" t="str">
        <f t="shared" si="2"/>
        <v>{, "", 24, 28, 0, 1, 24, 46,"V"},</v>
      </c>
      <c r="CC37" s="36"/>
      <c r="CD37" s="36"/>
      <c r="CE37" s="36"/>
      <c r="CF37" s="36"/>
      <c r="CG37" s="36"/>
      <c r="CH37" s="36"/>
      <c r="CI37" s="36"/>
      <c r="CJ37" s="36"/>
      <c r="CK37" s="36"/>
      <c r="CL37" s="36"/>
      <c r="CM37" s="36"/>
      <c r="CN37" s="36"/>
      <c r="CO37" s="37" t="str">
        <f t="shared" si="3"/>
        <v>{, "", 24, 55, 0, 0, 24, 73,"A"},</v>
      </c>
      <c r="CP37" s="36"/>
      <c r="CQ37" s="36"/>
      <c r="CR37" s="36"/>
      <c r="CS37" s="36"/>
      <c r="CT37" s="36"/>
      <c r="CU37" s="36"/>
      <c r="CV37" s="36"/>
      <c r="CW37" s="36"/>
      <c r="CX37" s="36"/>
      <c r="CY37" s="36"/>
      <c r="CZ37" s="38"/>
    </row>
    <row r="38" spans="1:117" x14ac:dyDescent="0.25">
      <c r="A38">
        <v>25</v>
      </c>
      <c r="C38" s="239" t="s">
        <v>16</v>
      </c>
      <c r="D38" s="240"/>
      <c r="E38" s="240"/>
      <c r="F38" s="240"/>
      <c r="G38" s="240"/>
      <c r="H38" s="240"/>
      <c r="I38" s="240"/>
      <c r="J38" s="240"/>
      <c r="K38" s="240"/>
      <c r="L38" s="240"/>
      <c r="M38" s="240"/>
      <c r="N38" s="240"/>
      <c r="O38" s="240"/>
      <c r="P38" s="240"/>
      <c r="Q38" s="240"/>
      <c r="R38" s="240"/>
      <c r="S38" s="240"/>
      <c r="T38" s="240"/>
      <c r="U38" s="240"/>
      <c r="V38" s="240"/>
      <c r="W38" s="240"/>
      <c r="X38" s="240"/>
      <c r="Y38" s="240"/>
      <c r="Z38" s="240"/>
      <c r="AA38" s="240"/>
      <c r="AB38" s="240"/>
      <c r="AC38" s="240"/>
      <c r="AD38" s="240"/>
      <c r="AE38" s="240"/>
      <c r="AF38" s="240"/>
      <c r="AG38" s="240"/>
      <c r="AH38" s="240"/>
      <c r="AI38" s="240"/>
      <c r="AJ38" s="240"/>
      <c r="AK38" s="240"/>
      <c r="AL38" s="240"/>
      <c r="AM38" s="240"/>
      <c r="AN38" s="240"/>
      <c r="AO38" s="240"/>
      <c r="AP38" s="240"/>
      <c r="AQ38" s="240"/>
      <c r="AR38" s="240"/>
      <c r="AS38" s="240"/>
      <c r="AT38" s="240"/>
      <c r="AU38" s="240"/>
      <c r="AV38" s="240"/>
      <c r="AW38" s="240"/>
      <c r="AX38" s="240"/>
      <c r="AY38" s="240"/>
      <c r="AZ38" s="240"/>
      <c r="BA38" s="240"/>
      <c r="BB38" s="240"/>
      <c r="BC38" s="240"/>
      <c r="BD38" s="241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</row>
    <row r="39" spans="1:117" x14ac:dyDescent="0.25">
      <c r="AJ39" s="22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</row>
    <row r="40" spans="1:117" x14ac:dyDescent="0.25">
      <c r="BC40" s="25"/>
      <c r="BD40" s="25"/>
      <c r="BE40" s="25"/>
      <c r="BF40" s="25"/>
      <c r="BG40" s="25"/>
      <c r="BH40" s="25"/>
      <c r="BI40" s="25"/>
      <c r="BJ40" s="25"/>
      <c r="BK40" s="25"/>
      <c r="BL40" s="50"/>
      <c r="BM40" s="25"/>
      <c r="BN40" s="50"/>
      <c r="BO40" s="25"/>
      <c r="BP40" s="50"/>
      <c r="BQ40" s="50"/>
      <c r="BR40" s="50"/>
      <c r="BS40" s="50"/>
      <c r="BT40" s="50"/>
      <c r="BU40" s="50"/>
      <c r="BV40" s="50"/>
      <c r="BW40" s="50"/>
      <c r="BX40" s="50"/>
      <c r="BY40" s="50"/>
      <c r="BZ40" s="50"/>
      <c r="CB40" s="50"/>
      <c r="CC40" s="50"/>
      <c r="CD40" s="50"/>
      <c r="CE40" s="50"/>
      <c r="CF40" s="50"/>
      <c r="CG40" s="50"/>
      <c r="CH40" s="50"/>
      <c r="CI40" s="50"/>
      <c r="CJ40" s="50"/>
      <c r="CK40" s="50"/>
    </row>
    <row r="41" spans="1:117" x14ac:dyDescent="0.25"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CA41" s="50"/>
    </row>
    <row r="42" spans="1:117" x14ac:dyDescent="0.25">
      <c r="BC42" s="25"/>
      <c r="BD42" s="25"/>
      <c r="BE42" s="25"/>
      <c r="BF42" s="25"/>
      <c r="BG42" s="25"/>
      <c r="BH42" s="25"/>
      <c r="BI42" s="25"/>
      <c r="BJ42" s="50"/>
      <c r="BK42" s="50"/>
      <c r="BL42" s="50"/>
      <c r="BM42" s="50"/>
      <c r="BN42" s="50"/>
      <c r="BO42" s="50"/>
      <c r="BP42" s="50"/>
      <c r="BQ42" s="50"/>
      <c r="BR42" s="50"/>
      <c r="BS42" s="50"/>
      <c r="BT42" s="50"/>
      <c r="BU42" s="50"/>
      <c r="BV42" s="50"/>
      <c r="BW42" s="50"/>
      <c r="BX42" s="50"/>
      <c r="BY42" s="50"/>
      <c r="BZ42" s="50"/>
      <c r="CA42" s="50"/>
    </row>
    <row r="43" spans="1:117" x14ac:dyDescent="0.25"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X43" s="50"/>
      <c r="CB43" s="50"/>
      <c r="CT43" s="50"/>
    </row>
    <row r="44" spans="1:117" x14ac:dyDescent="0.25">
      <c r="BC44" s="25"/>
      <c r="BD44" s="25"/>
      <c r="BE44" s="25"/>
      <c r="BF44" s="25"/>
      <c r="BG44" s="25"/>
      <c r="BH44" s="25"/>
      <c r="BI44" s="25"/>
      <c r="BJ44" s="50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CE44" s="50"/>
    </row>
    <row r="45" spans="1:117" x14ac:dyDescent="0.25"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</row>
    <row r="46" spans="1:117" x14ac:dyDescent="0.25">
      <c r="BC46" s="25"/>
      <c r="BD46" s="25"/>
      <c r="BE46" s="25"/>
      <c r="BF46" s="25"/>
      <c r="BG46" s="25"/>
      <c r="BH46" s="25"/>
      <c r="BI46" s="25"/>
      <c r="BJ46" s="50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</row>
    <row r="47" spans="1:117" ht="15.75" thickBot="1" x14ac:dyDescent="0.3">
      <c r="BC47" s="25"/>
      <c r="BD47" s="25"/>
      <c r="BE47" s="25"/>
      <c r="BF47" s="25"/>
      <c r="BG47" s="25"/>
      <c r="BH47" s="25" t="s">
        <v>180</v>
      </c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</row>
    <row r="48" spans="1:117" x14ac:dyDescent="0.25">
      <c r="BC48" s="25"/>
      <c r="BD48" s="25"/>
      <c r="BE48" s="25"/>
      <c r="BF48" s="25"/>
      <c r="BG48" s="25"/>
      <c r="BH48" s="61" t="s">
        <v>179</v>
      </c>
      <c r="BI48" s="31"/>
      <c r="BJ48" s="31"/>
      <c r="BK48" s="31"/>
      <c r="BL48" s="31"/>
      <c r="BM48" s="31"/>
      <c r="BN48" s="31"/>
      <c r="BO48" s="31"/>
      <c r="BP48" s="31"/>
      <c r="BQ48" s="31"/>
      <c r="BR48" s="31"/>
      <c r="BS48" s="31"/>
      <c r="BT48" s="31"/>
      <c r="BU48" s="31"/>
      <c r="BV48" s="31"/>
      <c r="BW48" s="30"/>
      <c r="BX48" s="30"/>
      <c r="BY48" s="30"/>
      <c r="BZ48" s="30"/>
      <c r="CA48" s="30"/>
      <c r="CB48" s="30"/>
      <c r="CC48" s="30"/>
      <c r="CD48" s="30"/>
      <c r="CE48" s="30"/>
      <c r="CF48" s="30"/>
      <c r="CG48" s="30"/>
      <c r="CH48" s="30"/>
      <c r="CI48" s="30"/>
      <c r="CJ48" s="30"/>
      <c r="CK48" s="30"/>
      <c r="CL48" s="30"/>
      <c r="CM48" s="30"/>
      <c r="CN48" s="30"/>
      <c r="CO48" s="30"/>
      <c r="CP48" s="30"/>
      <c r="CQ48" s="30"/>
      <c r="CR48" s="30"/>
      <c r="CS48" s="30"/>
      <c r="CT48" s="30"/>
      <c r="CU48" s="30"/>
      <c r="CV48" s="30"/>
      <c r="CW48" s="30"/>
      <c r="CX48" s="30"/>
      <c r="CY48" s="30"/>
      <c r="CZ48" s="30"/>
      <c r="DA48" s="30"/>
      <c r="DB48" s="30"/>
      <c r="DC48" s="30"/>
      <c r="DD48" s="30"/>
      <c r="DE48" s="30"/>
      <c r="DF48" s="30"/>
      <c r="DG48" s="30"/>
      <c r="DH48" s="30"/>
      <c r="DI48" s="30"/>
      <c r="DJ48" s="30"/>
      <c r="DK48" s="30"/>
      <c r="DL48" s="30"/>
      <c r="DM48" s="32"/>
    </row>
    <row r="49" spans="53:117" x14ac:dyDescent="0.25">
      <c r="BA49" t="s">
        <v>183</v>
      </c>
      <c r="BC49" s="25"/>
      <c r="BD49" s="25"/>
      <c r="BE49" s="25"/>
      <c r="BF49" s="25"/>
      <c r="BG49" s="25"/>
      <c r="BH49" s="62"/>
      <c r="BI49" s="34"/>
      <c r="BJ49" s="42" t="str">
        <f>"{"&amp;$B$14&amp;", "&amp;$T$14&amp;", "&amp;$AL$14&amp;", "&amp;$B$15&amp;", "&amp;$T$15&amp;", "&amp;$AL$15&amp;", "&amp;$B$16&amp;", "&amp;$T$16&amp;", "&amp;$AL$16&amp;", "&amp;$B$17&amp;", "&amp;$T$17&amp;", "&amp;$AL$17&amp;", "&amp;$B$18&amp;", "&amp;$T$18&amp;", "&amp;$AL$18&amp;", "&amp;$B$19&amp;", "&amp;$T$19&amp;", "&amp;$AL$19&amp;", "&amp;$B$20&amp;", "&amp;$T$20&amp;", "&amp;$AL$20&amp;", "&amp;$B$21&amp;", "&amp;$T$21&amp;", "&amp;$AL$21&amp;","</f>
        <v>{Port_Exp_0, , , Port_Exp_1, , , , , , , , , , , , , , , , , , , , ,</v>
      </c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22"/>
      <c r="BX49" s="22"/>
      <c r="BY49" s="22"/>
      <c r="BZ49" s="22"/>
      <c r="CA49" s="22"/>
      <c r="CB49" s="22"/>
      <c r="CC49" s="22"/>
      <c r="CD49" s="22"/>
      <c r="CE49" s="22"/>
      <c r="CF49" s="22"/>
      <c r="CG49" s="22"/>
      <c r="CH49" s="22"/>
      <c r="CI49" s="22"/>
      <c r="CJ49" s="22"/>
      <c r="CK49" s="22"/>
      <c r="CL49" s="22"/>
      <c r="CM49" s="22"/>
      <c r="CN49" s="22"/>
      <c r="CO49" s="22"/>
      <c r="CP49" s="22"/>
      <c r="CQ49" s="22"/>
      <c r="CR49" s="22"/>
      <c r="CS49" s="22"/>
      <c r="CT49" s="22"/>
      <c r="CU49" s="22"/>
      <c r="CV49" s="22"/>
      <c r="CW49" s="22"/>
      <c r="CX49" s="22"/>
      <c r="CY49" s="22"/>
      <c r="CZ49" s="22"/>
      <c r="DA49" s="22"/>
      <c r="DB49" s="22"/>
      <c r="DC49" s="22"/>
      <c r="DD49" s="22"/>
      <c r="DE49" s="22"/>
      <c r="DF49" s="22"/>
      <c r="DG49" s="22"/>
      <c r="DH49" s="22"/>
      <c r="DI49" s="22"/>
      <c r="DJ49" s="22"/>
      <c r="DK49" s="22"/>
      <c r="DL49" s="22"/>
      <c r="DM49" s="35"/>
    </row>
    <row r="50" spans="53:117" x14ac:dyDescent="0.25">
      <c r="BC50" s="25"/>
      <c r="BD50" s="25"/>
      <c r="BE50" s="25"/>
      <c r="BF50" s="25"/>
      <c r="BG50" s="25"/>
      <c r="BH50" s="62"/>
      <c r="BI50" s="34"/>
      <c r="BJ50" s="42" t="str">
        <f>$B$22&amp;", "&amp;$T$22&amp;", "&amp;$AL$22&amp;", "&amp;$B$23&amp;", "&amp;$T$23&amp;", "&amp;AL24&amp;", "&amp;$B$24&amp;", "&amp;$T$24&amp;", "&amp;$AL$23&amp;", "&amp;$B$25&amp;", "&amp;$T$25&amp;", "&amp;$AL$25&amp;", "&amp;$B$26&amp;", "&amp;$T$26&amp;", "&amp;$AL$26&amp;", "&amp;$B$27&amp;", "&amp;$T$27&amp;", "&amp;$AL$27&amp;", "&amp;$B$28&amp;", "&amp;$T$28&amp;", "&amp;$AL$28&amp;", "&amp;$B$29&amp;", "&amp;$T$29&amp;", "&amp;$AL$29&amp;","</f>
        <v>, , , , , , , , , , , , , , , , , , , , , , , ,</v>
      </c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22"/>
      <c r="BX50" s="22"/>
      <c r="BY50" s="22"/>
      <c r="BZ50" s="22"/>
      <c r="CA50" s="22"/>
      <c r="CB50" s="22"/>
      <c r="CC50" s="22"/>
      <c r="CD50" s="22"/>
      <c r="CE50" s="22"/>
      <c r="CF50" s="22"/>
      <c r="CG50" s="22"/>
      <c r="CH50" s="22"/>
      <c r="CI50" s="22"/>
      <c r="CJ50" s="22"/>
      <c r="CK50" s="22"/>
      <c r="CL50" s="22"/>
      <c r="CM50" s="22"/>
      <c r="CN50" s="22"/>
      <c r="CO50" s="22"/>
      <c r="CP50" s="22"/>
      <c r="CQ50" s="22"/>
      <c r="CR50" s="22"/>
      <c r="CS50" s="22"/>
      <c r="CT50" s="22"/>
      <c r="CU50" s="22"/>
      <c r="CV50" s="22"/>
      <c r="CW50" s="22"/>
      <c r="CX50" s="22"/>
      <c r="CY50" s="22"/>
      <c r="CZ50" s="22"/>
      <c r="DA50" s="22"/>
      <c r="DB50" s="22"/>
      <c r="DC50" s="22"/>
      <c r="DD50" s="22"/>
      <c r="DE50" s="22"/>
      <c r="DF50" s="22"/>
      <c r="DG50" s="22"/>
      <c r="DH50" s="22"/>
      <c r="DI50" s="22"/>
      <c r="DJ50" s="22"/>
      <c r="DK50" s="22"/>
      <c r="DL50" s="22"/>
      <c r="DM50" s="35"/>
    </row>
    <row r="51" spans="53:117" x14ac:dyDescent="0.25">
      <c r="BC51" s="25"/>
      <c r="BD51" s="25"/>
      <c r="BE51" s="25"/>
      <c r="BF51" s="25"/>
      <c r="BG51" s="25"/>
      <c r="BH51" s="62"/>
      <c r="BI51" s="34"/>
      <c r="BJ51" s="42" t="str">
        <f>$B$30&amp;", "&amp;$T$30&amp;", "&amp;$AL$30&amp;", "&amp;$B$31&amp;", "&amp;$T$31&amp;", "&amp;$AL$31&amp;", "&amp;$B$32&amp;", "&amp;$T$32&amp;", "&amp;$AL$32&amp;", "&amp;$B$33&amp;", "&amp;$T$33&amp;", "&amp;$AL$33&amp;", "&amp;$B$34&amp;", "&amp;$T$34&amp;", "&amp;$AL$34&amp;", "&amp;$B$35&amp;", "&amp;$T$35&amp;", "&amp;$AL$35&amp;", "&amp;$B$36&amp;", "&amp;$T$36&amp;", "&amp;$AL$36&amp;", "&amp;$B$37&amp;", "&amp;$T$37&amp;", "&amp;$AL$37&amp;","</f>
        <v>, , , , , , , , , , , , , , , , , , , , , , , ,</v>
      </c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22"/>
      <c r="BX51" s="22"/>
      <c r="BY51" s="22"/>
      <c r="BZ51" s="22"/>
      <c r="CA51" s="22"/>
      <c r="CB51" s="22"/>
      <c r="CC51" s="22"/>
      <c r="CD51" s="22"/>
      <c r="CE51" s="22"/>
      <c r="CF51" s="22"/>
      <c r="CG51" s="22"/>
      <c r="CH51" s="22"/>
      <c r="CI51" s="22"/>
      <c r="CJ51" s="22"/>
      <c r="CK51" s="22"/>
      <c r="CL51" s="22"/>
      <c r="CM51" s="22"/>
      <c r="CN51" s="22"/>
      <c r="CO51" s="22"/>
      <c r="CP51" s="22"/>
      <c r="CQ51" s="22"/>
      <c r="CR51" s="22"/>
      <c r="CS51" s="22"/>
      <c r="CT51" s="22"/>
      <c r="CU51" s="22"/>
      <c r="CV51" s="22"/>
      <c r="CW51" s="22"/>
      <c r="CX51" s="22"/>
      <c r="CY51" s="22"/>
      <c r="CZ51" s="22"/>
      <c r="DA51" s="22"/>
      <c r="DB51" s="22"/>
      <c r="DC51" s="22"/>
      <c r="DD51" s="22"/>
      <c r="DE51" s="22"/>
      <c r="DF51" s="22"/>
      <c r="DG51" s="22"/>
      <c r="DH51" s="22"/>
      <c r="DI51" s="22"/>
      <c r="DJ51" s="22"/>
      <c r="DK51" s="22"/>
      <c r="DL51" s="22"/>
      <c r="DM51" s="35"/>
    </row>
    <row r="52" spans="53:117" x14ac:dyDescent="0.25">
      <c r="BC52" s="25"/>
      <c r="BD52" s="25"/>
      <c r="BE52" s="25"/>
      <c r="BF52" s="25"/>
      <c r="BG52" s="25"/>
      <c r="BH52" s="62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22"/>
      <c r="BX52" s="22"/>
      <c r="BY52" s="22"/>
      <c r="BZ52" s="22"/>
      <c r="CA52" s="22"/>
      <c r="CB52" s="22"/>
      <c r="CC52" s="22"/>
      <c r="CD52" s="22"/>
      <c r="CE52" s="22"/>
      <c r="CF52" s="22"/>
      <c r="CG52" s="22"/>
      <c r="CH52" s="22"/>
      <c r="CI52" s="22"/>
      <c r="CJ52" s="22"/>
      <c r="CK52" s="22"/>
      <c r="CL52" s="22"/>
      <c r="CM52" s="22"/>
      <c r="CN52" s="22"/>
      <c r="CO52" s="22"/>
      <c r="CP52" s="22"/>
      <c r="CQ52" s="22"/>
      <c r="CR52" s="22"/>
      <c r="CS52" s="22"/>
      <c r="CT52" s="22"/>
      <c r="CU52" s="22"/>
      <c r="CV52" s="22"/>
      <c r="CW52" s="22"/>
      <c r="CX52" s="22"/>
      <c r="CY52" s="22"/>
      <c r="CZ52" s="22"/>
      <c r="DA52" s="22"/>
      <c r="DB52" s="22"/>
      <c r="DC52" s="22"/>
      <c r="DD52" s="22"/>
      <c r="DE52" s="22"/>
      <c r="DF52" s="22"/>
      <c r="DG52" s="22"/>
      <c r="DH52" s="22"/>
      <c r="DI52" s="22"/>
      <c r="DJ52" s="22"/>
      <c r="DK52" s="22"/>
      <c r="DL52" s="22"/>
      <c r="DM52" s="35"/>
    </row>
    <row r="53" spans="53:117" x14ac:dyDescent="0.25">
      <c r="BA53" t="s">
        <v>183</v>
      </c>
      <c r="BC53" s="25"/>
      <c r="BD53" s="25"/>
      <c r="BE53" s="25"/>
      <c r="BF53" s="25"/>
      <c r="BG53" s="25"/>
      <c r="BH53" s="62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22"/>
      <c r="BX53" s="22"/>
      <c r="BY53" s="22"/>
      <c r="BZ53" s="22"/>
      <c r="CA53" s="22"/>
      <c r="CB53" s="22"/>
      <c r="CC53" s="22"/>
      <c r="CD53" s="22"/>
      <c r="CE53" s="22"/>
      <c r="CF53" s="22"/>
      <c r="CG53" s="22"/>
      <c r="CH53" s="22"/>
      <c r="CI53" s="22"/>
      <c r="CJ53" s="22"/>
      <c r="CK53" s="22"/>
      <c r="CL53" s="22"/>
      <c r="CM53" s="22"/>
      <c r="CN53" s="22"/>
      <c r="CO53" s="22"/>
      <c r="CP53" s="22"/>
      <c r="CQ53" s="22"/>
      <c r="CR53" s="22"/>
      <c r="CS53" s="22"/>
      <c r="CT53" s="22"/>
      <c r="CU53" s="22"/>
      <c r="CV53" s="22"/>
      <c r="CW53" s="22"/>
      <c r="CX53" s="22"/>
      <c r="CY53" s="22"/>
      <c r="CZ53" s="22"/>
      <c r="DA53" s="22"/>
      <c r="DB53" s="22"/>
      <c r="DC53" s="22"/>
      <c r="DD53" s="22"/>
      <c r="DE53" s="22"/>
      <c r="DF53" s="22"/>
      <c r="DG53" s="22"/>
      <c r="DH53" s="22"/>
      <c r="DI53" s="22"/>
      <c r="DJ53" s="22"/>
      <c r="DK53" s="22"/>
      <c r="DL53" s="22"/>
      <c r="DM53" s="35"/>
    </row>
    <row r="54" spans="53:117" x14ac:dyDescent="0.25">
      <c r="BC54" s="25"/>
      <c r="BD54" s="25"/>
      <c r="BE54" s="25"/>
      <c r="BF54" s="25"/>
      <c r="BG54" s="25"/>
      <c r="BH54" s="62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22"/>
      <c r="BX54" s="22"/>
      <c r="BY54" s="22"/>
      <c r="BZ54" s="22"/>
      <c r="CA54" s="22"/>
      <c r="CB54" s="22"/>
      <c r="CC54" s="22"/>
      <c r="CD54" s="22"/>
      <c r="CE54" s="22"/>
      <c r="CF54" s="22"/>
      <c r="CG54" s="22"/>
      <c r="CH54" s="22"/>
      <c r="CI54" s="22"/>
      <c r="CJ54" s="22"/>
      <c r="CK54" s="22"/>
      <c r="CL54" s="22"/>
      <c r="CM54" s="22"/>
      <c r="CN54" s="22"/>
      <c r="CO54" s="22"/>
      <c r="CP54" s="22"/>
      <c r="CQ54" s="22"/>
      <c r="CR54" s="22"/>
      <c r="CS54" s="22"/>
      <c r="CT54" s="22"/>
      <c r="CU54" s="22"/>
      <c r="CV54" s="22"/>
      <c r="CW54" s="22"/>
      <c r="CX54" s="22"/>
      <c r="CY54" s="22"/>
      <c r="CZ54" s="22"/>
      <c r="DA54" s="22"/>
      <c r="DB54" s="22"/>
      <c r="DC54" s="22"/>
      <c r="DD54" s="22"/>
      <c r="DE54" s="22"/>
      <c r="DF54" s="22"/>
      <c r="DG54" s="22"/>
      <c r="DH54" s="22"/>
      <c r="DI54" s="22"/>
      <c r="DJ54" s="22"/>
      <c r="DK54" s="22"/>
      <c r="DL54" s="22"/>
      <c r="DM54" s="35"/>
    </row>
    <row r="55" spans="53:117" x14ac:dyDescent="0.25">
      <c r="BC55" s="25"/>
      <c r="BD55" s="25"/>
      <c r="BE55" s="25"/>
      <c r="BF55" s="25"/>
      <c r="BG55" s="25"/>
      <c r="BH55" s="62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22"/>
      <c r="BX55" s="22"/>
      <c r="BY55" s="22"/>
      <c r="BZ55" s="22"/>
      <c r="CA55" s="22"/>
      <c r="CB55" s="22"/>
      <c r="CC55" s="22"/>
      <c r="CD55" s="22"/>
      <c r="CE55" s="22"/>
      <c r="CF55" s="22"/>
      <c r="CG55" s="22"/>
      <c r="CH55" s="22"/>
      <c r="CI55" s="22"/>
      <c r="CJ55" s="22"/>
      <c r="CK55" s="22"/>
      <c r="CL55" s="22"/>
      <c r="CM55" s="22"/>
      <c r="CN55" s="22"/>
      <c r="CO55" s="22"/>
      <c r="CP55" s="22"/>
      <c r="CQ55" s="22"/>
      <c r="CR55" s="22"/>
      <c r="CS55" s="22"/>
      <c r="CT55" s="22"/>
      <c r="CU55" s="22"/>
      <c r="CV55" s="22"/>
      <c r="CW55" s="22"/>
      <c r="CX55" s="22"/>
      <c r="CY55" s="22"/>
      <c r="CZ55" s="22"/>
      <c r="DA55" s="22"/>
      <c r="DB55" s="22"/>
      <c r="DC55" s="22"/>
      <c r="DD55" s="22"/>
      <c r="DE55" s="22"/>
      <c r="DF55" s="22"/>
      <c r="DG55" s="22"/>
      <c r="DH55" s="22"/>
      <c r="DI55" s="22"/>
      <c r="DJ55" s="22"/>
      <c r="DK55" s="22"/>
      <c r="DL55" s="22"/>
      <c r="DM55" s="35"/>
    </row>
    <row r="56" spans="53:117" ht="15.75" thickBot="1" x14ac:dyDescent="0.3">
      <c r="BC56" s="25"/>
      <c r="BD56" s="25"/>
      <c r="BE56" s="25"/>
      <c r="BF56" s="25"/>
      <c r="BG56" s="25"/>
      <c r="BH56" s="63" t="s">
        <v>178</v>
      </c>
      <c r="BI56" s="37"/>
      <c r="BJ56" s="37"/>
      <c r="BK56" s="37"/>
      <c r="BL56" s="37"/>
      <c r="BM56" s="37"/>
      <c r="BN56" s="37"/>
      <c r="BO56" s="37"/>
      <c r="BP56" s="37"/>
      <c r="BQ56" s="37"/>
      <c r="BR56" s="37"/>
      <c r="BS56" s="37"/>
      <c r="BT56" s="37"/>
      <c r="BU56" s="37"/>
      <c r="BV56" s="37"/>
      <c r="BW56" s="36"/>
      <c r="BX56" s="36"/>
      <c r="BY56" s="36"/>
      <c r="BZ56" s="36"/>
      <c r="CA56" s="36"/>
      <c r="CB56" s="36"/>
      <c r="CC56" s="36"/>
      <c r="CD56" s="36"/>
      <c r="CE56" s="36"/>
      <c r="CF56" s="36"/>
      <c r="CG56" s="36"/>
      <c r="CH56" s="36"/>
      <c r="CI56" s="36"/>
      <c r="CJ56" s="36"/>
      <c r="CK56" s="36"/>
      <c r="CL56" s="36"/>
      <c r="CM56" s="36"/>
      <c r="CN56" s="36"/>
      <c r="CO56" s="36"/>
      <c r="CP56" s="36"/>
      <c r="CQ56" s="36"/>
      <c r="CR56" s="36"/>
      <c r="CS56" s="36"/>
      <c r="CT56" s="36"/>
      <c r="CU56" s="36"/>
      <c r="CV56" s="36"/>
      <c r="CW56" s="36"/>
      <c r="CX56" s="36"/>
      <c r="CY56" s="36"/>
      <c r="CZ56" s="36"/>
      <c r="DA56" s="36"/>
      <c r="DB56" s="36"/>
      <c r="DC56" s="36"/>
      <c r="DD56" s="36"/>
      <c r="DE56" s="36"/>
      <c r="DF56" s="36"/>
      <c r="DG56" s="36"/>
      <c r="DH56" s="36"/>
      <c r="DI56" s="36"/>
      <c r="DJ56" s="36"/>
      <c r="DK56" s="36"/>
      <c r="DL56" s="36"/>
      <c r="DM56" s="38"/>
    </row>
    <row r="57" spans="53:117" x14ac:dyDescent="0.25"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</row>
  </sheetData>
  <mergeCells count="154">
    <mergeCell ref="C38:BD38"/>
    <mergeCell ref="C37:H37"/>
    <mergeCell ref="J37:M37"/>
    <mergeCell ref="U37:Z37"/>
    <mergeCell ref="AB37:AE37"/>
    <mergeCell ref="AM37:AR37"/>
    <mergeCell ref="AT37:AW37"/>
    <mergeCell ref="C36:H36"/>
    <mergeCell ref="J36:M36"/>
    <mergeCell ref="U36:Z36"/>
    <mergeCell ref="AB36:AE36"/>
    <mergeCell ref="AM36:AR36"/>
    <mergeCell ref="AT36:AW36"/>
    <mergeCell ref="C35:H35"/>
    <mergeCell ref="J35:M35"/>
    <mergeCell ref="U35:Z35"/>
    <mergeCell ref="AB35:AE35"/>
    <mergeCell ref="AM35:AR35"/>
    <mergeCell ref="AT35:AW35"/>
    <mergeCell ref="C34:H34"/>
    <mergeCell ref="J34:M34"/>
    <mergeCell ref="U34:Z34"/>
    <mergeCell ref="AB34:AE34"/>
    <mergeCell ref="AM34:AR34"/>
    <mergeCell ref="AT34:AW34"/>
    <mergeCell ref="C33:H33"/>
    <mergeCell ref="J33:M33"/>
    <mergeCell ref="U33:Z33"/>
    <mergeCell ref="AB33:AE33"/>
    <mergeCell ref="AM33:AR33"/>
    <mergeCell ref="AT33:AW33"/>
    <mergeCell ref="C32:H32"/>
    <mergeCell ref="J32:M32"/>
    <mergeCell ref="U32:Z32"/>
    <mergeCell ref="AB32:AE32"/>
    <mergeCell ref="AM32:AR32"/>
    <mergeCell ref="AT32:AW32"/>
    <mergeCell ref="C31:H31"/>
    <mergeCell ref="J31:M31"/>
    <mergeCell ref="U31:Z31"/>
    <mergeCell ref="AB31:AE31"/>
    <mergeCell ref="AM31:AR31"/>
    <mergeCell ref="AT31:AW31"/>
    <mergeCell ref="C30:H30"/>
    <mergeCell ref="J30:M30"/>
    <mergeCell ref="U30:Z30"/>
    <mergeCell ref="AB30:AE30"/>
    <mergeCell ref="AM30:AR30"/>
    <mergeCell ref="AT30:AW30"/>
    <mergeCell ref="C29:H29"/>
    <mergeCell ref="J29:M29"/>
    <mergeCell ref="U29:Z29"/>
    <mergeCell ref="AB29:AE29"/>
    <mergeCell ref="AM29:AR29"/>
    <mergeCell ref="AT29:AW29"/>
    <mergeCell ref="C28:H28"/>
    <mergeCell ref="J28:M28"/>
    <mergeCell ref="U28:Z28"/>
    <mergeCell ref="AB28:AE28"/>
    <mergeCell ref="AM28:AR28"/>
    <mergeCell ref="AT28:AW28"/>
    <mergeCell ref="C27:H27"/>
    <mergeCell ref="J27:M27"/>
    <mergeCell ref="U27:Z27"/>
    <mergeCell ref="AB27:AE27"/>
    <mergeCell ref="AM27:AR27"/>
    <mergeCell ref="AT27:AW27"/>
    <mergeCell ref="C25:H25"/>
    <mergeCell ref="J25:M25"/>
    <mergeCell ref="U25:Z25"/>
    <mergeCell ref="AB25:AE25"/>
    <mergeCell ref="AM25:AR25"/>
    <mergeCell ref="C26:H26"/>
    <mergeCell ref="J26:M26"/>
    <mergeCell ref="U26:Z26"/>
    <mergeCell ref="AB26:AE26"/>
    <mergeCell ref="AM26:AR26"/>
    <mergeCell ref="C23:H23"/>
    <mergeCell ref="J23:M23"/>
    <mergeCell ref="U23:Z23"/>
    <mergeCell ref="AB23:AE23"/>
    <mergeCell ref="AM23:AR23"/>
    <mergeCell ref="C24:H24"/>
    <mergeCell ref="J24:M24"/>
    <mergeCell ref="U24:Z24"/>
    <mergeCell ref="AB24:AE24"/>
    <mergeCell ref="AM24:AR24"/>
    <mergeCell ref="C22:H22"/>
    <mergeCell ref="J22:M22"/>
    <mergeCell ref="U22:Z22"/>
    <mergeCell ref="AB22:AE22"/>
    <mergeCell ref="AM22:AR22"/>
    <mergeCell ref="AT22:AW22"/>
    <mergeCell ref="C21:H21"/>
    <mergeCell ref="J21:M21"/>
    <mergeCell ref="U21:Z21"/>
    <mergeCell ref="AB21:AE21"/>
    <mergeCell ref="AM21:AR21"/>
    <mergeCell ref="AT21:AW21"/>
    <mergeCell ref="C20:H20"/>
    <mergeCell ref="J20:M20"/>
    <mergeCell ref="U20:Z20"/>
    <mergeCell ref="AB20:AE20"/>
    <mergeCell ref="AM20:AR20"/>
    <mergeCell ref="AT20:AW20"/>
    <mergeCell ref="C19:H19"/>
    <mergeCell ref="J19:M19"/>
    <mergeCell ref="U19:Z19"/>
    <mergeCell ref="AB19:AE19"/>
    <mergeCell ref="AM19:AR19"/>
    <mergeCell ref="AT19:AW19"/>
    <mergeCell ref="C18:H18"/>
    <mergeCell ref="J18:M18"/>
    <mergeCell ref="U18:Z18"/>
    <mergeCell ref="AB18:AE18"/>
    <mergeCell ref="AM18:AR18"/>
    <mergeCell ref="AT18:AW18"/>
    <mergeCell ref="C17:H17"/>
    <mergeCell ref="J17:M17"/>
    <mergeCell ref="U17:Z17"/>
    <mergeCell ref="AB17:AE17"/>
    <mergeCell ref="AM17:AR17"/>
    <mergeCell ref="AT17:AW17"/>
    <mergeCell ref="C16:H16"/>
    <mergeCell ref="J16:M16"/>
    <mergeCell ref="U16:Z16"/>
    <mergeCell ref="AB16:AE16"/>
    <mergeCell ref="AM16:AR16"/>
    <mergeCell ref="AT16:AW16"/>
    <mergeCell ref="C15:H15"/>
    <mergeCell ref="J15:M15"/>
    <mergeCell ref="U15:Z15"/>
    <mergeCell ref="AB15:AE15"/>
    <mergeCell ref="AM15:AR15"/>
    <mergeCell ref="AT15:AW15"/>
    <mergeCell ref="C14:H14"/>
    <mergeCell ref="J14:M14"/>
    <mergeCell ref="U14:Z14"/>
    <mergeCell ref="AB14:AE14"/>
    <mergeCell ref="AM14:AR14"/>
    <mergeCell ref="AT14:AW14"/>
    <mergeCell ref="C11:R11"/>
    <mergeCell ref="U11:Z11"/>
    <mergeCell ref="AD11:AS11"/>
    <mergeCell ref="AV11:BA11"/>
    <mergeCell ref="BE11:BT11"/>
    <mergeCell ref="BW11:CB11"/>
    <mergeCell ref="U2:Z2"/>
    <mergeCell ref="AV2:BA2"/>
    <mergeCell ref="BW2:CB2"/>
    <mergeCell ref="AA8:AF8"/>
    <mergeCell ref="U10:Z10"/>
    <mergeCell ref="AV10:BA10"/>
    <mergeCell ref="BW10:CB10"/>
  </mergeCells>
  <conditionalFormatting sqref="U14:Z37 AM23:AM26 AM27:AR37 AM14:AR22 C14:H37">
    <cfRule type="cellIs" dxfId="4" priority="7" operator="lessThan">
      <formula>17</formula>
    </cfRule>
  </conditionalFormatting>
  <conditionalFormatting sqref="F15:F18 U14:U37 AM14:AM37 C14:C37">
    <cfRule type="cellIs" dxfId="3" priority="6" operator="lessThan">
      <formula>16</formula>
    </cfRule>
  </conditionalFormatting>
  <conditionalFormatting sqref="BD15 BD18 BD21 BD27 BD24 BD30:BD37">
    <cfRule type="cellIs" dxfId="2" priority="5" stopIfTrue="1" operator="lessThan">
      <formula>"&lt;16"</formula>
    </cfRule>
  </conditionalFormatting>
  <conditionalFormatting sqref="BD14:BF37">
    <cfRule type="cellIs" dxfId="1" priority="3" operator="greaterThan">
      <formula>16</formula>
    </cfRule>
    <cfRule type="cellIs" dxfId="0" priority="4" operator="lessThan">
      <formula>17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88"/>
  <sheetViews>
    <sheetView topLeftCell="A54" zoomScale="85" zoomScaleNormal="85" workbookViewId="0">
      <selection activeCell="L16" sqref="L16"/>
    </sheetView>
  </sheetViews>
  <sheetFormatPr defaultRowHeight="15" x14ac:dyDescent="0.25"/>
  <cols>
    <col min="1" max="1" width="21.42578125" customWidth="1"/>
    <col min="2" max="2" width="37.85546875" customWidth="1"/>
    <col min="3" max="3" width="8.85546875" style="47"/>
  </cols>
  <sheetData>
    <row r="1" spans="1:7" ht="22.15" customHeight="1" x14ac:dyDescent="0.25">
      <c r="A1" s="242" t="s">
        <v>70</v>
      </c>
      <c r="B1" s="242"/>
      <c r="C1" s="243" t="s">
        <v>165</v>
      </c>
      <c r="D1" s="243"/>
      <c r="E1" s="243"/>
      <c r="F1" s="243"/>
      <c r="G1" s="243"/>
    </row>
    <row r="2" spans="1:7" ht="30" x14ac:dyDescent="0.25">
      <c r="A2" t="s">
        <v>72</v>
      </c>
      <c r="B2" s="45" t="s">
        <v>31</v>
      </c>
      <c r="C2" s="48" t="s">
        <v>71</v>
      </c>
    </row>
    <row r="3" spans="1:7" ht="15.75" x14ac:dyDescent="0.3">
      <c r="A3" t="s">
        <v>167</v>
      </c>
      <c r="B3" s="44" t="s">
        <v>41</v>
      </c>
      <c r="C3" s="46">
        <v>1</v>
      </c>
      <c r="E3" s="25" t="str">
        <f>("{"&amp;A3&amp;", "&amp;B3&amp;", "&amp;C3&amp;"},")</f>
        <v>{CpXadcDia_T, Die_Temperature, 1},</v>
      </c>
    </row>
    <row r="4" spans="1:7" ht="15.75" x14ac:dyDescent="0.3">
      <c r="A4" t="s">
        <v>168</v>
      </c>
      <c r="B4" s="44" t="s">
        <v>42</v>
      </c>
      <c r="C4" s="46">
        <v>1</v>
      </c>
      <c r="E4" s="25" t="str">
        <f t="shared" ref="E4:E35" si="0">("{"&amp;A4&amp;", "&amp;B4&amp;", "&amp;C4&amp;"},")</f>
        <v>{CpAdcMinDia_T, Min_Die_Temperature, 1},</v>
      </c>
    </row>
    <row r="5" spans="1:7" ht="15.75" x14ac:dyDescent="0.3">
      <c r="A5" t="s">
        <v>169</v>
      </c>
      <c r="B5" s="44" t="s">
        <v>44</v>
      </c>
      <c r="C5" s="46">
        <v>1</v>
      </c>
      <c r="E5" s="25" t="str">
        <f t="shared" si="0"/>
        <v>{CpAdcMaxDia_T, Max_Die_Temperature, 1},</v>
      </c>
    </row>
    <row r="6" spans="1:7" ht="15.75" hidden="1" x14ac:dyDescent="0.3">
      <c r="B6" s="44" t="s">
        <v>45</v>
      </c>
      <c r="C6" s="46">
        <v>3</v>
      </c>
      <c r="E6" s="25"/>
    </row>
    <row r="7" spans="1:7" ht="15.75" hidden="1" x14ac:dyDescent="0.3">
      <c r="B7" s="44" t="s">
        <v>32</v>
      </c>
      <c r="C7" s="46">
        <v>3</v>
      </c>
      <c r="E7" s="25"/>
    </row>
    <row r="8" spans="1:7" ht="15.75" hidden="1" x14ac:dyDescent="0.3">
      <c r="B8" s="44" t="s">
        <v>33</v>
      </c>
      <c r="C8" s="46">
        <v>3</v>
      </c>
      <c r="E8" s="25"/>
    </row>
    <row r="9" spans="1:7" ht="15.75" hidden="1" x14ac:dyDescent="0.3">
      <c r="B9" s="44" t="s">
        <v>46</v>
      </c>
      <c r="C9" s="46">
        <v>3</v>
      </c>
      <c r="E9" s="25"/>
    </row>
    <row r="10" spans="1:7" ht="15.75" hidden="1" x14ac:dyDescent="0.3">
      <c r="B10" s="44" t="s">
        <v>34</v>
      </c>
      <c r="C10" s="46">
        <v>3</v>
      </c>
      <c r="E10" s="25"/>
    </row>
    <row r="11" spans="1:7" ht="15.75" hidden="1" x14ac:dyDescent="0.3">
      <c r="B11" s="44" t="s">
        <v>35</v>
      </c>
      <c r="C11" s="46">
        <v>3</v>
      </c>
      <c r="E11" s="25"/>
    </row>
    <row r="12" spans="1:7" ht="15.75" x14ac:dyDescent="0.3">
      <c r="A12" t="s">
        <v>79</v>
      </c>
      <c r="B12" s="44" t="s">
        <v>47</v>
      </c>
      <c r="C12" s="46">
        <v>3</v>
      </c>
      <c r="E12" s="25" t="str">
        <f t="shared" si="0"/>
        <v>{PlVbram1V0, Vbram_PL_1V0, 3},</v>
      </c>
    </row>
    <row r="13" spans="1:7" ht="15.75" x14ac:dyDescent="0.3">
      <c r="A13" t="s">
        <v>80</v>
      </c>
      <c r="B13" s="44" t="s">
        <v>48</v>
      </c>
      <c r="C13" s="46">
        <v>3</v>
      </c>
      <c r="E13" s="25" t="str">
        <f t="shared" si="0"/>
        <v>{PlVbramMin1V0, Min_Vbram_PL_1V0, 3},</v>
      </c>
    </row>
    <row r="14" spans="1:7" ht="15.75" x14ac:dyDescent="0.3">
      <c r="A14" t="s">
        <v>81</v>
      </c>
      <c r="B14" s="44" t="s">
        <v>49</v>
      </c>
      <c r="C14" s="46">
        <v>3</v>
      </c>
      <c r="E14" s="25" t="str">
        <f t="shared" si="0"/>
        <v>{PlVbramMax1V0, Max_Vbram_PL_1V0, 3},</v>
      </c>
    </row>
    <row r="15" spans="1:7" ht="15.75" x14ac:dyDescent="0.3">
      <c r="A15" t="s">
        <v>73</v>
      </c>
      <c r="B15" s="44" t="s">
        <v>50</v>
      </c>
      <c r="C15" s="46">
        <v>3</v>
      </c>
      <c r="E15" s="25" t="str">
        <f t="shared" si="0"/>
        <v>{PsVccint1V0, Vccint_PS_1V0, 3},</v>
      </c>
    </row>
    <row r="16" spans="1:7" ht="15.75" x14ac:dyDescent="0.3">
      <c r="A16" t="s">
        <v>74</v>
      </c>
      <c r="B16" s="44" t="s">
        <v>51</v>
      </c>
      <c r="C16" s="46">
        <v>3</v>
      </c>
      <c r="E16" s="25" t="str">
        <f t="shared" si="0"/>
        <v>{PsVintMin1V0, Min_Vccint_PS_1V0, 3},</v>
      </c>
    </row>
    <row r="17" spans="1:5" ht="15.75" x14ac:dyDescent="0.3">
      <c r="A17" t="s">
        <v>75</v>
      </c>
      <c r="B17" s="44" t="s">
        <v>52</v>
      </c>
      <c r="C17" s="46">
        <v>3</v>
      </c>
      <c r="E17" s="25" t="str">
        <f t="shared" si="0"/>
        <v>{PsVintMax1V0, Max_Vccint_PS_1V0, 3},</v>
      </c>
    </row>
    <row r="18" spans="1:5" ht="15.75" x14ac:dyDescent="0.3">
      <c r="A18" t="s">
        <v>76</v>
      </c>
      <c r="B18" s="44" t="s">
        <v>53</v>
      </c>
      <c r="C18" s="46">
        <v>3</v>
      </c>
      <c r="E18" s="25" t="str">
        <f t="shared" si="0"/>
        <v>{PsVccaux1V8, Vccaux_PS_1V8, 3},</v>
      </c>
    </row>
    <row r="19" spans="1:5" ht="15.75" x14ac:dyDescent="0.3">
      <c r="A19" t="s">
        <v>77</v>
      </c>
      <c r="B19" s="44" t="s">
        <v>54</v>
      </c>
      <c r="C19" s="46">
        <v>3</v>
      </c>
      <c r="E19" s="25" t="str">
        <f t="shared" si="0"/>
        <v>{PsVauxMin1V8, Min_Vccaux_PS_1V8, 3},</v>
      </c>
    </row>
    <row r="20" spans="1:5" ht="15.75" x14ac:dyDescent="0.3">
      <c r="A20" t="s">
        <v>78</v>
      </c>
      <c r="B20" s="44" t="s">
        <v>55</v>
      </c>
      <c r="C20" s="46">
        <v>3</v>
      </c>
      <c r="E20" s="25" t="str">
        <f t="shared" si="0"/>
        <v>{PsVauxMax1V8, Max_Vccaux_PS_1V8, 3},</v>
      </c>
    </row>
    <row r="21" spans="1:5" ht="15.75" x14ac:dyDescent="0.3">
      <c r="A21" t="s">
        <v>82</v>
      </c>
      <c r="B21" s="44" t="s">
        <v>56</v>
      </c>
      <c r="C21" s="46">
        <v>3</v>
      </c>
      <c r="E21" s="25" t="str">
        <f t="shared" si="0"/>
        <v>{PsVccmem1V35, Vccmem_PS_1V35, 3},</v>
      </c>
    </row>
    <row r="22" spans="1:5" ht="15.75" x14ac:dyDescent="0.3">
      <c r="A22" t="s">
        <v>83</v>
      </c>
      <c r="B22" s="44" t="s">
        <v>57</v>
      </c>
      <c r="C22" s="46">
        <v>3</v>
      </c>
      <c r="E22" s="25" t="str">
        <f t="shared" si="0"/>
        <v>{PsVmemMin1V35, Min_Vccmem_PS_1V35, 3},</v>
      </c>
    </row>
    <row r="23" spans="1:5" ht="15.75" x14ac:dyDescent="0.3">
      <c r="A23" t="s">
        <v>84</v>
      </c>
      <c r="B23" s="44" t="s">
        <v>120</v>
      </c>
      <c r="C23" s="46">
        <v>3</v>
      </c>
      <c r="E23" s="25" t="str">
        <f t="shared" si="0"/>
        <v>{PsVmemMax1V35, Max_Vccmem_PS_1V35, 3},</v>
      </c>
    </row>
    <row r="24" spans="1:5" ht="15.75" x14ac:dyDescent="0.3">
      <c r="A24" t="s">
        <v>40</v>
      </c>
      <c r="B24" s="44" t="s">
        <v>59</v>
      </c>
      <c r="C24" s="46">
        <v>1</v>
      </c>
      <c r="E24" s="25" t="str">
        <f>("{"&amp;A24&amp;", "&amp;B24&amp;", "&amp;C24&amp;"},")</f>
        <v>{Blank54, Vp_Vn_DDR3L_Ref, 1},</v>
      </c>
    </row>
    <row r="25" spans="1:5" ht="15.75" x14ac:dyDescent="0.3">
      <c r="A25" t="s">
        <v>100</v>
      </c>
      <c r="B25" s="44" t="s">
        <v>60</v>
      </c>
      <c r="C25" s="46">
        <v>4</v>
      </c>
      <c r="E25" s="25" t="str">
        <f t="shared" si="0"/>
        <v>{CpSw3V3, Aux0_Brd_3V3_SW, 4},</v>
      </c>
    </row>
    <row r="26" spans="1:5" ht="15.75" x14ac:dyDescent="0.3">
      <c r="A26" t="s">
        <v>95</v>
      </c>
      <c r="B26" s="44" t="s">
        <v>61</v>
      </c>
      <c r="C26" s="46">
        <v>4</v>
      </c>
      <c r="E26" s="25" t="str">
        <f t="shared" si="0"/>
        <v>{Brd2V5, Aux1_Brd_2V5, 4},</v>
      </c>
    </row>
    <row r="27" spans="1:5" ht="15.75" x14ac:dyDescent="0.3">
      <c r="A27" t="s">
        <v>93</v>
      </c>
      <c r="B27" s="44" t="s">
        <v>62</v>
      </c>
      <c r="C27" s="46">
        <v>2</v>
      </c>
      <c r="E27" s="25" t="str">
        <f t="shared" si="0"/>
        <v>{RoboBrd1V2, Aux2_Brd_1V2, 2},</v>
      </c>
    </row>
    <row r="28" spans="1:5" ht="15.75" x14ac:dyDescent="0.3">
      <c r="A28" t="s">
        <v>92</v>
      </c>
      <c r="B28" s="44" t="s">
        <v>63</v>
      </c>
      <c r="C28" s="46">
        <v>1.48</v>
      </c>
      <c r="E28" s="25" t="str">
        <f t="shared" si="0"/>
        <v>{Pex1V0, Aux3_Brd_1V0_PEX, 1.48},</v>
      </c>
    </row>
    <row r="29" spans="1:5" ht="15.75" x14ac:dyDescent="0.3">
      <c r="A29" t="s">
        <v>88</v>
      </c>
      <c r="B29" s="44" t="s">
        <v>36</v>
      </c>
      <c r="C29" s="46">
        <v>1.48</v>
      </c>
      <c r="E29" s="25" t="str">
        <f t="shared" si="0"/>
        <v>{PlMgt1V0, Aux4_Brd_MGT_1V0, 1.48},</v>
      </c>
    </row>
    <row r="30" spans="1:5" ht="15.75" x14ac:dyDescent="0.3">
      <c r="A30" t="s">
        <v>148</v>
      </c>
      <c r="B30" s="44" t="s">
        <v>64</v>
      </c>
      <c r="C30" s="46">
        <v>2.4300000000000002</v>
      </c>
      <c r="E30" s="25" t="str">
        <f t="shared" si="0"/>
        <v>{L21V8, Aux5_Brd_L2_1V8, 2.43},</v>
      </c>
    </row>
    <row r="31" spans="1:5" ht="15.75" x14ac:dyDescent="0.3">
      <c r="A31" t="s">
        <v>96</v>
      </c>
      <c r="B31" s="44" t="s">
        <v>65</v>
      </c>
      <c r="C31" s="46">
        <v>4.01</v>
      </c>
      <c r="E31" s="25" t="str">
        <f t="shared" si="0"/>
        <v>{CpSw2V5, Aux8_Brd_2V5V_SW, 4.01},</v>
      </c>
    </row>
    <row r="32" spans="1:5" ht="15.75" x14ac:dyDescent="0.3">
      <c r="A32" t="s">
        <v>89</v>
      </c>
      <c r="B32" s="44" t="s">
        <v>37</v>
      </c>
      <c r="C32" s="46">
        <v>2</v>
      </c>
      <c r="E32" s="25" t="str">
        <f t="shared" si="0"/>
        <v>{PlMgt1V2, Aux9_Brd_MGT_1V2, 2},</v>
      </c>
    </row>
    <row r="33" spans="1:12" ht="15.75" x14ac:dyDescent="0.3">
      <c r="A33" t="s">
        <v>103</v>
      </c>
      <c r="B33" s="44" t="s">
        <v>66</v>
      </c>
      <c r="C33" s="46">
        <v>5.75</v>
      </c>
      <c r="E33" s="25" t="str">
        <f t="shared" si="0"/>
        <v>{Brd5V0, Aux10_Brd_5V0, 5.75},</v>
      </c>
      <c r="L33" t="s">
        <v>186</v>
      </c>
    </row>
    <row r="34" spans="1:12" ht="15.75" x14ac:dyDescent="0.3">
      <c r="A34" t="s">
        <v>90</v>
      </c>
      <c r="B34" s="44" t="s">
        <v>38</v>
      </c>
      <c r="C34" s="46">
        <v>2.4300000000000002</v>
      </c>
      <c r="E34" s="25" t="str">
        <f t="shared" si="0"/>
        <v>{PlMgt1V8, Aux11_Brd_MGT1V8, 2.43},</v>
      </c>
      <c r="L34" t="s">
        <v>187</v>
      </c>
    </row>
    <row r="35" spans="1:12" ht="15.75" x14ac:dyDescent="0.3">
      <c r="A35" t="s">
        <v>147</v>
      </c>
      <c r="B35" s="44" t="s">
        <v>67</v>
      </c>
      <c r="C35" s="46">
        <v>4.01</v>
      </c>
      <c r="E35" s="25" t="str">
        <f t="shared" si="0"/>
        <v>{L22V5, Aux12_Brd_L2_2V5, 4.01},</v>
      </c>
      <c r="L35" t="s">
        <v>188</v>
      </c>
    </row>
    <row r="36" spans="1:12" ht="15.75" x14ac:dyDescent="0.3">
      <c r="A36" t="s">
        <v>149</v>
      </c>
      <c r="B36" s="44" t="s">
        <v>68</v>
      </c>
      <c r="C36" s="46">
        <v>2.4300000000000002</v>
      </c>
      <c r="E36" s="25" t="str">
        <f>("{"&amp;A36&amp;", "&amp;B36&amp;", "&amp;C36&amp;"}")</f>
        <v>{L2Pll1V0, Aux13_Brd_L2_PLL_VDD, 2.43}</v>
      </c>
    </row>
    <row r="40" spans="1:12" x14ac:dyDescent="0.25">
      <c r="A40" t="s">
        <v>161</v>
      </c>
      <c r="E40" s="244" t="s">
        <v>166</v>
      </c>
      <c r="F40" s="244"/>
      <c r="G40" s="244"/>
      <c r="H40" s="244"/>
      <c r="I40" s="244"/>
    </row>
    <row r="41" spans="1:12" x14ac:dyDescent="0.25">
      <c r="A41" t="s">
        <v>186</v>
      </c>
      <c r="B41" t="s">
        <v>121</v>
      </c>
      <c r="C41" s="47">
        <v>1</v>
      </c>
      <c r="E41" s="25" t="str">
        <f>("{"&amp;A41&amp;", "&amp;B41&amp;", "&amp;C41&amp;"}"&amp;",")</f>
        <v>{CjXadcDie_T, CJ_Die_Temperature, 1},</v>
      </c>
    </row>
    <row r="42" spans="1:12" x14ac:dyDescent="0.25">
      <c r="A42" t="s">
        <v>187</v>
      </c>
      <c r="B42" t="s">
        <v>170</v>
      </c>
      <c r="C42" s="49">
        <v>1</v>
      </c>
      <c r="E42" s="25" t="str">
        <f>("{"&amp;A42&amp;", "&amp;B42&amp;", "&amp;C42&amp;"}"&amp;",")</f>
        <v>{CjAdcMinDie_T, CJ_Min_Die_Temperature, 1},</v>
      </c>
    </row>
    <row r="43" spans="1:12" x14ac:dyDescent="0.25">
      <c r="A43" t="s">
        <v>188</v>
      </c>
      <c r="B43" t="s">
        <v>171</v>
      </c>
      <c r="C43" s="49">
        <v>1</v>
      </c>
      <c r="E43" s="25" t="str">
        <f>("{"&amp;A43&amp;", "&amp;B43&amp;", "&amp;C43&amp;"}"&amp;",")</f>
        <v>{CjAdcMaxDie_T, CJ_Max_Die_Temperature, 1},</v>
      </c>
    </row>
    <row r="44" spans="1:12" x14ac:dyDescent="0.25">
      <c r="A44" t="s">
        <v>106</v>
      </c>
      <c r="B44" t="s">
        <v>122</v>
      </c>
      <c r="C44" s="47">
        <v>3</v>
      </c>
      <c r="E44" s="25" t="str">
        <f t="shared" ref="E44:E67" si="1">("{"&amp;A44&amp;", "&amp;B44&amp;", "&amp;C44&amp;"}"&amp;",")</f>
        <v>{CjVccint0V95, CJ_Vccint_V95, 3},</v>
      </c>
    </row>
    <row r="45" spans="1:12" x14ac:dyDescent="0.25">
      <c r="A45" t="s">
        <v>107</v>
      </c>
      <c r="B45" t="s">
        <v>172</v>
      </c>
      <c r="C45" s="47">
        <v>3</v>
      </c>
      <c r="E45" s="25" t="str">
        <f t="shared" si="1"/>
        <v>{CjVintMin0V95, CJ_Min_Vccint_V95, 3},</v>
      </c>
    </row>
    <row r="46" spans="1:12" x14ac:dyDescent="0.25">
      <c r="A46" t="s">
        <v>108</v>
      </c>
      <c r="B46" t="s">
        <v>173</v>
      </c>
      <c r="C46" s="47">
        <v>3</v>
      </c>
      <c r="E46" s="25" t="str">
        <f t="shared" si="1"/>
        <v>{CjVintMax0V95, CJ_Max_Vccint_V95, 3},</v>
      </c>
    </row>
    <row r="47" spans="1:12" x14ac:dyDescent="0.25">
      <c r="A47" t="s">
        <v>116</v>
      </c>
      <c r="B47" t="s">
        <v>123</v>
      </c>
      <c r="C47" s="47">
        <v>3</v>
      </c>
      <c r="E47" s="25" t="str">
        <f t="shared" si="1"/>
        <v>{CjVccaux1V8, CJ_Vccaux_1V8, 3},</v>
      </c>
    </row>
    <row r="48" spans="1:12" x14ac:dyDescent="0.25">
      <c r="A48" t="s">
        <v>117</v>
      </c>
      <c r="B48" t="s">
        <v>174</v>
      </c>
      <c r="C48" s="47">
        <v>3</v>
      </c>
      <c r="E48" s="25" t="str">
        <f t="shared" si="1"/>
        <v>{CjVauxMin1V8, CJ_Min_Vccaux_1V8, 3},</v>
      </c>
    </row>
    <row r="49" spans="1:5" x14ac:dyDescent="0.25">
      <c r="A49" t="s">
        <v>118</v>
      </c>
      <c r="B49" t="s">
        <v>175</v>
      </c>
      <c r="C49" s="47">
        <v>3</v>
      </c>
      <c r="D49" t="s">
        <v>58</v>
      </c>
      <c r="E49" s="25" t="str">
        <f t="shared" si="1"/>
        <v>{CjVauxMax1V8, CJ_Max_Vccaux_1V8, 3},</v>
      </c>
    </row>
    <row r="50" spans="1:5" x14ac:dyDescent="0.25">
      <c r="A50" t="s">
        <v>113</v>
      </c>
      <c r="B50" t="s">
        <v>124</v>
      </c>
      <c r="C50" s="47">
        <v>3</v>
      </c>
      <c r="D50" t="s">
        <v>58</v>
      </c>
      <c r="E50" s="25" t="str">
        <f t="shared" si="1"/>
        <v>{CjVbram0V95, CJ_Vbram_V95, 3},</v>
      </c>
    </row>
    <row r="51" spans="1:5" x14ac:dyDescent="0.25">
      <c r="A51" t="s">
        <v>114</v>
      </c>
      <c r="B51" t="s">
        <v>176</v>
      </c>
      <c r="C51" s="47">
        <v>3</v>
      </c>
      <c r="D51" t="s">
        <v>58</v>
      </c>
      <c r="E51" s="25" t="str">
        <f t="shared" si="1"/>
        <v>{CjVramMin0V95, CJ_Min_Vbram_V95, 3},</v>
      </c>
    </row>
    <row r="52" spans="1:5" x14ac:dyDescent="0.25">
      <c r="A52" t="s">
        <v>115</v>
      </c>
      <c r="B52" t="s">
        <v>177</v>
      </c>
      <c r="C52" s="47">
        <v>3</v>
      </c>
      <c r="D52" t="s">
        <v>58</v>
      </c>
      <c r="E52" s="25" t="str">
        <f t="shared" si="1"/>
        <v>{CjVramMax0V95, CJ_Max_Vbram_V95, 3},</v>
      </c>
    </row>
    <row r="53" spans="1:5" x14ac:dyDescent="0.25">
      <c r="A53" t="s">
        <v>104</v>
      </c>
      <c r="B53" t="s">
        <v>125</v>
      </c>
      <c r="C53" s="47">
        <v>21</v>
      </c>
      <c r="E53" s="25" t="str">
        <f t="shared" si="1"/>
        <v>{Brd12V0, CJ_SYSMON_ADCIN_0_12V0, 21},</v>
      </c>
    </row>
    <row r="54" spans="1:5" x14ac:dyDescent="0.25">
      <c r="A54" t="s">
        <v>150</v>
      </c>
      <c r="B54" t="s">
        <v>126</v>
      </c>
      <c r="C54" s="47">
        <v>2</v>
      </c>
      <c r="D54" t="s">
        <v>58</v>
      </c>
      <c r="E54" s="25" t="str">
        <f t="shared" si="1"/>
        <v>{L2Vdd0V95, CJ_SYSMON_ADCIN_1_L2_VDD_0V9, 2},</v>
      </c>
    </row>
    <row r="55" spans="1:5" x14ac:dyDescent="0.25">
      <c r="A55" t="s">
        <v>158</v>
      </c>
      <c r="B55" t="s">
        <v>127</v>
      </c>
      <c r="C55" s="47">
        <v>2</v>
      </c>
      <c r="D55" t="s">
        <v>58</v>
      </c>
      <c r="E55" s="25" t="str">
        <f t="shared" si="1"/>
        <v>{L2Avdd1V0, CJ_SYSMON_ADCIN_2_L2_AVDD_1V0, 2},</v>
      </c>
    </row>
    <row r="56" spans="1:5" x14ac:dyDescent="0.25">
      <c r="A56" t="s">
        <v>102</v>
      </c>
      <c r="B56" t="s">
        <v>128</v>
      </c>
      <c r="C56" s="47">
        <v>5.75</v>
      </c>
      <c r="E56" s="25" t="str">
        <f t="shared" si="1"/>
        <v>{Cu3V3, CJ_SYSMON_ADCIN_3_CU_3V3, 5.75},</v>
      </c>
    </row>
    <row r="57" spans="1:5" x14ac:dyDescent="0.25">
      <c r="A57" t="s">
        <v>94</v>
      </c>
      <c r="B57" t="s">
        <v>129</v>
      </c>
      <c r="C57" s="47">
        <v>4</v>
      </c>
      <c r="D57" t="s">
        <v>58</v>
      </c>
      <c r="E57" s="25" t="str">
        <f t="shared" si="1"/>
        <v>{Nco1V8, CJ_SYSMON_ADCIN_4_NCO_1V8, 4},</v>
      </c>
    </row>
    <row r="58" spans="1:5" x14ac:dyDescent="0.25">
      <c r="A58" t="s">
        <v>146</v>
      </c>
      <c r="B58" t="s">
        <v>130</v>
      </c>
      <c r="C58" s="47">
        <v>4</v>
      </c>
      <c r="D58" t="s">
        <v>58</v>
      </c>
      <c r="E58" s="25" t="str">
        <f t="shared" si="1"/>
        <v>{CjMgt1V8, CJ_SYSMON_ADCIN_5_DA_MGT_1V8, 4},</v>
      </c>
    </row>
    <row r="59" spans="1:5" x14ac:dyDescent="0.25">
      <c r="A59" t="s">
        <v>143</v>
      </c>
      <c r="B59" t="s">
        <v>131</v>
      </c>
      <c r="C59" s="47">
        <v>2</v>
      </c>
      <c r="D59" t="s">
        <v>58</v>
      </c>
      <c r="E59" s="25" t="str">
        <f t="shared" si="1"/>
        <v>{CjMgt1V2, CJ_SYSMON_ADCIN_6_DA_MGT_1V2, 2},</v>
      </c>
    </row>
    <row r="60" spans="1:5" x14ac:dyDescent="0.25">
      <c r="A60" t="s">
        <v>119</v>
      </c>
      <c r="B60" t="s">
        <v>132</v>
      </c>
      <c r="C60" s="47">
        <v>2</v>
      </c>
      <c r="D60" t="s">
        <v>58</v>
      </c>
      <c r="E60" s="25" t="str">
        <f t="shared" si="1"/>
        <v>{CjMgt1V0, CJ_SYSMON_ADCIN_7_DA_MGT_1V0, 2},</v>
      </c>
    </row>
    <row r="61" spans="1:5" x14ac:dyDescent="0.25">
      <c r="A61" t="s">
        <v>86</v>
      </c>
      <c r="B61" t="s">
        <v>133</v>
      </c>
      <c r="C61" s="47">
        <v>1.21</v>
      </c>
      <c r="E61" s="25" t="str">
        <f t="shared" si="1"/>
        <v>{PsDdr30V675, CJ_SYSMON_ADCIN_8_PS_DDR3_VTT_V675, 1.21},</v>
      </c>
    </row>
    <row r="62" spans="1:5" x14ac:dyDescent="0.25">
      <c r="A62" t="s">
        <v>87</v>
      </c>
      <c r="B62" t="s">
        <v>134</v>
      </c>
      <c r="C62" s="47">
        <v>1.21</v>
      </c>
      <c r="E62" s="25" t="str">
        <f t="shared" si="1"/>
        <v>{PlDdr30V675, CJ_SYSMON_ADCIN_9_PL_DDR3_VTT_V675, 1.21},</v>
      </c>
    </row>
    <row r="63" spans="1:5" x14ac:dyDescent="0.25">
      <c r="A63" t="s">
        <v>105</v>
      </c>
      <c r="B63" t="s">
        <v>135</v>
      </c>
      <c r="C63" s="47">
        <v>21</v>
      </c>
      <c r="D63" t="s">
        <v>43</v>
      </c>
      <c r="E63" s="25" t="str">
        <f t="shared" si="1"/>
        <v>{Dspy12V0, CJ_SYSMON_ADCIN_10_DSPY_12V0, 21},</v>
      </c>
    </row>
    <row r="64" spans="1:5" x14ac:dyDescent="0.25">
      <c r="A64" t="s">
        <v>101</v>
      </c>
      <c r="B64" t="s">
        <v>136</v>
      </c>
      <c r="C64" s="47">
        <v>5.75</v>
      </c>
      <c r="E64" s="25" t="str">
        <f t="shared" si="1"/>
        <v>{CjSw3V3, CJ_SYSMON_ADCIN_11_DA_3V3, 5.75},</v>
      </c>
    </row>
    <row r="65" spans="1:5" x14ac:dyDescent="0.25">
      <c r="A65" t="s">
        <v>97</v>
      </c>
      <c r="B65" t="s">
        <v>137</v>
      </c>
      <c r="C65" s="47">
        <v>5.75</v>
      </c>
      <c r="E65" s="25" t="str">
        <f t="shared" si="1"/>
        <v>{Brd3V3, CJ_SYSMON_ADCIN_12_3V3, 5.75},</v>
      </c>
    </row>
    <row r="66" spans="1:5" x14ac:dyDescent="0.25">
      <c r="A66" t="s">
        <v>162</v>
      </c>
      <c r="B66" t="s">
        <v>138</v>
      </c>
      <c r="C66" s="47">
        <v>4</v>
      </c>
      <c r="D66" t="s">
        <v>58</v>
      </c>
      <c r="E66" s="25" t="str">
        <f t="shared" si="1"/>
        <v>{CpBrd1V8, CJ_SYSMON_ADCIN_13_CP_1V8_SW, 4},</v>
      </c>
    </row>
    <row r="67" spans="1:5" x14ac:dyDescent="0.25">
      <c r="A67" t="s">
        <v>91</v>
      </c>
      <c r="B67" t="s">
        <v>139</v>
      </c>
      <c r="C67" s="47">
        <v>3.1</v>
      </c>
      <c r="D67" t="s">
        <v>69</v>
      </c>
      <c r="E67" s="25" t="str">
        <f t="shared" si="1"/>
        <v>{CpBrd1V0, CJ_SYSMON_ADCIN_14_CP_1V0, 3.1},</v>
      </c>
    </row>
    <row r="68" spans="1:5" x14ac:dyDescent="0.25">
      <c r="A68" t="s">
        <v>85</v>
      </c>
      <c r="B68" t="s">
        <v>140</v>
      </c>
      <c r="C68" s="47">
        <v>3.1</v>
      </c>
      <c r="D68" t="s">
        <v>69</v>
      </c>
      <c r="E68" s="25" t="str">
        <f>("{"&amp;A68&amp;", "&amp;B68&amp;", "&amp;C68&amp;"}")</f>
        <v>{BrdDdr31V35, CJ_SYSMON_ADCIN_15_DDR3_1V35, 3.1}</v>
      </c>
    </row>
    <row r="70" spans="1:5" x14ac:dyDescent="0.25">
      <c r="A70" t="s">
        <v>98</v>
      </c>
    </row>
    <row r="71" spans="1:5" x14ac:dyDescent="0.25">
      <c r="A71" t="s">
        <v>99</v>
      </c>
    </row>
    <row r="72" spans="1:5" x14ac:dyDescent="0.25">
      <c r="A72" t="s">
        <v>109</v>
      </c>
    </row>
    <row r="73" spans="1:5" x14ac:dyDescent="0.25">
      <c r="A73" t="s">
        <v>110</v>
      </c>
    </row>
    <row r="74" spans="1:5" x14ac:dyDescent="0.25">
      <c r="A74" t="s">
        <v>111</v>
      </c>
    </row>
    <row r="75" spans="1:5" x14ac:dyDescent="0.25">
      <c r="A75" t="s">
        <v>112</v>
      </c>
    </row>
    <row r="76" spans="1:5" x14ac:dyDescent="0.25">
      <c r="A76" t="s">
        <v>141</v>
      </c>
    </row>
    <row r="77" spans="1:5" x14ac:dyDescent="0.25">
      <c r="A77" t="s">
        <v>142</v>
      </c>
    </row>
    <row r="78" spans="1:5" x14ac:dyDescent="0.25">
      <c r="A78" t="s">
        <v>144</v>
      </c>
    </row>
    <row r="79" spans="1:5" x14ac:dyDescent="0.25">
      <c r="A79" t="s">
        <v>145</v>
      </c>
    </row>
    <row r="80" spans="1:5" x14ac:dyDescent="0.25">
      <c r="A80" t="s">
        <v>151</v>
      </c>
    </row>
    <row r="81" spans="1:1" x14ac:dyDescent="0.25">
      <c r="A81" t="s">
        <v>152</v>
      </c>
    </row>
    <row r="82" spans="1:1" x14ac:dyDescent="0.25">
      <c r="A82" t="s">
        <v>153</v>
      </c>
    </row>
    <row r="83" spans="1:1" x14ac:dyDescent="0.25">
      <c r="A83" t="s">
        <v>154</v>
      </c>
    </row>
    <row r="84" spans="1:1" x14ac:dyDescent="0.25">
      <c r="A84" t="s">
        <v>155</v>
      </c>
    </row>
    <row r="85" spans="1:1" x14ac:dyDescent="0.25">
      <c r="A85" t="s">
        <v>156</v>
      </c>
    </row>
    <row r="86" spans="1:1" x14ac:dyDescent="0.25">
      <c r="A86" t="s">
        <v>157</v>
      </c>
    </row>
    <row r="87" spans="1:1" x14ac:dyDescent="0.25">
      <c r="A87" t="s">
        <v>159</v>
      </c>
    </row>
    <row r="88" spans="1:1" x14ac:dyDescent="0.25">
      <c r="A88" t="s">
        <v>160</v>
      </c>
    </row>
  </sheetData>
  <mergeCells count="3">
    <mergeCell ref="A1:B1"/>
    <mergeCell ref="C1:G1"/>
    <mergeCell ref="E40:I40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U114"/>
  <sheetViews>
    <sheetView topLeftCell="A53" zoomScaleNormal="100" workbookViewId="0">
      <selection activeCell="J110" sqref="J110"/>
    </sheetView>
  </sheetViews>
  <sheetFormatPr defaultRowHeight="15" x14ac:dyDescent="0.25"/>
  <cols>
    <col min="2" max="2" width="14.28515625" customWidth="1"/>
    <col min="3" max="3" width="10.7109375" customWidth="1"/>
    <col min="4" max="4" width="7.42578125" customWidth="1"/>
  </cols>
  <sheetData>
    <row r="1" spans="2:20" hidden="1" x14ac:dyDescent="0.25">
      <c r="B1" s="68" t="s">
        <v>191</v>
      </c>
      <c r="D1">
        <v>0</v>
      </c>
      <c r="E1" t="s">
        <v>251</v>
      </c>
      <c r="R1" t="s">
        <v>213</v>
      </c>
    </row>
    <row r="2" spans="2:20" hidden="1" x14ac:dyDescent="0.25">
      <c r="B2" s="68" t="s">
        <v>192</v>
      </c>
      <c r="E2">
        <v>0</v>
      </c>
      <c r="F2" t="s">
        <v>228</v>
      </c>
      <c r="I2" t="s">
        <v>229</v>
      </c>
      <c r="R2" t="s">
        <v>214</v>
      </c>
    </row>
    <row r="3" spans="2:20" hidden="1" x14ac:dyDescent="0.25">
      <c r="B3" s="68" t="s">
        <v>193</v>
      </c>
      <c r="E3">
        <v>1</v>
      </c>
      <c r="F3" t="s">
        <v>230</v>
      </c>
      <c r="I3" t="s">
        <v>231</v>
      </c>
    </row>
    <row r="4" spans="2:20" hidden="1" x14ac:dyDescent="0.25">
      <c r="B4" s="68" t="s">
        <v>194</v>
      </c>
      <c r="E4">
        <v>2</v>
      </c>
      <c r="F4" t="s">
        <v>232</v>
      </c>
      <c r="G4" t="s">
        <v>233</v>
      </c>
      <c r="R4" t="s">
        <v>215</v>
      </c>
    </row>
    <row r="5" spans="2:20" hidden="1" x14ac:dyDescent="0.25">
      <c r="B5" s="68" t="s">
        <v>195</v>
      </c>
      <c r="G5" t="s">
        <v>211</v>
      </c>
    </row>
    <row r="6" spans="2:20" hidden="1" x14ac:dyDescent="0.25">
      <c r="B6" s="68" t="s">
        <v>196</v>
      </c>
      <c r="G6" t="s">
        <v>212</v>
      </c>
      <c r="R6" t="s">
        <v>216</v>
      </c>
    </row>
    <row r="7" spans="2:20" hidden="1" x14ac:dyDescent="0.25">
      <c r="B7" s="68" t="s">
        <v>197</v>
      </c>
      <c r="R7" t="s">
        <v>217</v>
      </c>
    </row>
    <row r="8" spans="2:20" hidden="1" x14ac:dyDescent="0.25">
      <c r="B8" s="68" t="s">
        <v>198</v>
      </c>
      <c r="D8">
        <v>1</v>
      </c>
      <c r="E8" t="s">
        <v>252</v>
      </c>
      <c r="S8" t="s">
        <v>218</v>
      </c>
    </row>
    <row r="9" spans="2:20" hidden="1" x14ac:dyDescent="0.25">
      <c r="B9" s="68" t="s">
        <v>200</v>
      </c>
      <c r="F9" t="s">
        <v>228</v>
      </c>
      <c r="I9" t="s">
        <v>236</v>
      </c>
      <c r="R9" t="s">
        <v>219</v>
      </c>
      <c r="T9" t="s">
        <v>220</v>
      </c>
    </row>
    <row r="10" spans="2:20" hidden="1" x14ac:dyDescent="0.25">
      <c r="B10" s="68" t="s">
        <v>201</v>
      </c>
      <c r="F10" t="s">
        <v>230</v>
      </c>
      <c r="I10" t="s">
        <v>237</v>
      </c>
      <c r="R10" t="s">
        <v>221</v>
      </c>
    </row>
    <row r="11" spans="2:20" hidden="1" x14ac:dyDescent="0.25">
      <c r="B11" s="68" t="s">
        <v>202</v>
      </c>
      <c r="F11" t="s">
        <v>238</v>
      </c>
      <c r="G11" t="s">
        <v>239</v>
      </c>
      <c r="R11" t="s">
        <v>222</v>
      </c>
      <c r="S11" t="s">
        <v>223</v>
      </c>
    </row>
    <row r="12" spans="2:20" hidden="1" x14ac:dyDescent="0.25">
      <c r="B12" s="68" t="s">
        <v>203</v>
      </c>
      <c r="G12" t="s">
        <v>195</v>
      </c>
      <c r="R12" t="s">
        <v>224</v>
      </c>
    </row>
    <row r="13" spans="2:20" hidden="1" x14ac:dyDescent="0.25">
      <c r="B13" s="68" t="s">
        <v>204</v>
      </c>
      <c r="G13" t="s">
        <v>196</v>
      </c>
      <c r="R13" t="s">
        <v>225</v>
      </c>
    </row>
    <row r="14" spans="2:20" hidden="1" x14ac:dyDescent="0.25">
      <c r="B14" s="68" t="s">
        <v>205</v>
      </c>
      <c r="G14" t="s">
        <v>197</v>
      </c>
      <c r="R14" t="s">
        <v>226</v>
      </c>
    </row>
    <row r="15" spans="2:20" hidden="1" x14ac:dyDescent="0.25">
      <c r="B15" s="68" t="s">
        <v>206</v>
      </c>
      <c r="G15" t="s">
        <v>198</v>
      </c>
    </row>
    <row r="16" spans="2:20" hidden="1" x14ac:dyDescent="0.25">
      <c r="B16" s="68" t="s">
        <v>207</v>
      </c>
      <c r="G16" t="s">
        <v>199</v>
      </c>
      <c r="R16" t="s">
        <v>227</v>
      </c>
    </row>
    <row r="17" spans="2:21" hidden="1" x14ac:dyDescent="0.25">
      <c r="B17" s="68" t="s">
        <v>208</v>
      </c>
      <c r="R17" t="s">
        <v>217</v>
      </c>
    </row>
    <row r="18" spans="2:21" hidden="1" x14ac:dyDescent="0.25">
      <c r="B18" s="68" t="s">
        <v>209</v>
      </c>
      <c r="D18">
        <v>2</v>
      </c>
      <c r="E18" t="s">
        <v>253</v>
      </c>
    </row>
    <row r="19" spans="2:21" hidden="1" x14ac:dyDescent="0.25">
      <c r="B19" s="68" t="s">
        <v>210</v>
      </c>
      <c r="F19" t="s">
        <v>228</v>
      </c>
      <c r="I19" t="s">
        <v>229</v>
      </c>
    </row>
    <row r="20" spans="2:21" hidden="1" x14ac:dyDescent="0.25">
      <c r="B20" s="68" t="s">
        <v>211</v>
      </c>
      <c r="F20" t="s">
        <v>230</v>
      </c>
      <c r="I20" t="s">
        <v>231</v>
      </c>
    </row>
    <row r="21" spans="2:21" hidden="1" x14ac:dyDescent="0.25">
      <c r="B21" s="68" t="s">
        <v>212</v>
      </c>
      <c r="F21" t="s">
        <v>232</v>
      </c>
      <c r="G21" t="s">
        <v>233</v>
      </c>
      <c r="R21" t="s">
        <v>234</v>
      </c>
    </row>
    <row r="22" spans="2:21" hidden="1" x14ac:dyDescent="0.25">
      <c r="G22" s="69" t="s">
        <v>193</v>
      </c>
    </row>
    <row r="23" spans="2:21" hidden="1" x14ac:dyDescent="0.25">
      <c r="G23" s="69" t="s">
        <v>194</v>
      </c>
      <c r="R23" t="s">
        <v>235</v>
      </c>
    </row>
    <row r="24" spans="2:21" hidden="1" x14ac:dyDescent="0.25">
      <c r="R24" t="s">
        <v>217</v>
      </c>
    </row>
    <row r="25" spans="2:21" hidden="1" x14ac:dyDescent="0.25">
      <c r="D25">
        <v>3</v>
      </c>
      <c r="E25" t="s">
        <v>254</v>
      </c>
      <c r="R25" t="s">
        <v>228</v>
      </c>
      <c r="U25" t="s">
        <v>236</v>
      </c>
    </row>
    <row r="26" spans="2:21" hidden="1" x14ac:dyDescent="0.25">
      <c r="F26" t="s">
        <v>228</v>
      </c>
      <c r="I26" t="s">
        <v>229</v>
      </c>
      <c r="R26" t="s">
        <v>230</v>
      </c>
      <c r="U26" t="s">
        <v>237</v>
      </c>
    </row>
    <row r="27" spans="2:21" hidden="1" x14ac:dyDescent="0.25">
      <c r="F27" t="s">
        <v>230</v>
      </c>
      <c r="I27" t="s">
        <v>231</v>
      </c>
      <c r="R27" t="s">
        <v>238</v>
      </c>
      <c r="S27" t="s">
        <v>239</v>
      </c>
    </row>
    <row r="28" spans="2:21" hidden="1" x14ac:dyDescent="0.25">
      <c r="F28" t="s">
        <v>232</v>
      </c>
      <c r="G28" t="s">
        <v>233</v>
      </c>
      <c r="R28" t="s">
        <v>234</v>
      </c>
    </row>
    <row r="29" spans="2:21" hidden="1" x14ac:dyDescent="0.25">
      <c r="G29" t="s">
        <v>191</v>
      </c>
    </row>
    <row r="30" spans="2:21" hidden="1" x14ac:dyDescent="0.25">
      <c r="G30" t="s">
        <v>192</v>
      </c>
    </row>
    <row r="31" spans="2:21" hidden="1" x14ac:dyDescent="0.25">
      <c r="R31" t="s">
        <v>216</v>
      </c>
    </row>
    <row r="32" spans="2:21" hidden="1" x14ac:dyDescent="0.25">
      <c r="D32">
        <v>4</v>
      </c>
      <c r="E32" t="s">
        <v>255</v>
      </c>
      <c r="R32" t="s">
        <v>217</v>
      </c>
    </row>
    <row r="33" spans="4:20" hidden="1" x14ac:dyDescent="0.25">
      <c r="F33" t="s">
        <v>228</v>
      </c>
      <c r="I33" t="s">
        <v>236</v>
      </c>
      <c r="R33" t="s">
        <v>240</v>
      </c>
      <c r="S33" t="s">
        <v>241</v>
      </c>
      <c r="T33" t="s">
        <v>242</v>
      </c>
    </row>
    <row r="34" spans="4:20" hidden="1" x14ac:dyDescent="0.25">
      <c r="F34" t="s">
        <v>230</v>
      </c>
      <c r="I34" t="s">
        <v>237</v>
      </c>
      <c r="R34" t="s">
        <v>243</v>
      </c>
      <c r="S34" t="s">
        <v>244</v>
      </c>
    </row>
    <row r="35" spans="4:20" hidden="1" x14ac:dyDescent="0.25">
      <c r="F35" t="s">
        <v>238</v>
      </c>
      <c r="G35" t="s">
        <v>239</v>
      </c>
      <c r="R35" t="s">
        <v>243</v>
      </c>
      <c r="S35" t="s">
        <v>245</v>
      </c>
    </row>
    <row r="36" spans="4:20" hidden="1" x14ac:dyDescent="0.25">
      <c r="G36" t="s">
        <v>202</v>
      </c>
      <c r="R36" t="s">
        <v>246</v>
      </c>
      <c r="S36" t="s">
        <v>247</v>
      </c>
    </row>
    <row r="37" spans="4:20" hidden="1" x14ac:dyDescent="0.25">
      <c r="G37" t="s">
        <v>203</v>
      </c>
      <c r="R37" t="s">
        <v>246</v>
      </c>
      <c r="S37" t="s">
        <v>248</v>
      </c>
    </row>
    <row r="38" spans="4:20" hidden="1" x14ac:dyDescent="0.25">
      <c r="G38" t="s">
        <v>204</v>
      </c>
      <c r="R38" t="s">
        <v>249</v>
      </c>
    </row>
    <row r="39" spans="4:20" hidden="1" x14ac:dyDescent="0.25">
      <c r="G39" t="s">
        <v>205</v>
      </c>
    </row>
    <row r="40" spans="4:20" hidden="1" x14ac:dyDescent="0.25">
      <c r="G40" t="s">
        <v>206</v>
      </c>
    </row>
    <row r="41" spans="4:20" hidden="1" x14ac:dyDescent="0.25">
      <c r="G41" t="s">
        <v>207</v>
      </c>
      <c r="R41" t="s">
        <v>250</v>
      </c>
    </row>
    <row r="42" spans="4:20" hidden="1" x14ac:dyDescent="0.25">
      <c r="G42" t="s">
        <v>208</v>
      </c>
      <c r="R42" t="s">
        <v>217</v>
      </c>
    </row>
    <row r="43" spans="4:20" hidden="1" x14ac:dyDescent="0.25">
      <c r="G43" t="s">
        <v>209</v>
      </c>
      <c r="R43" t="s">
        <v>251</v>
      </c>
    </row>
    <row r="44" spans="4:20" hidden="1" x14ac:dyDescent="0.25">
      <c r="R44" t="s">
        <v>252</v>
      </c>
    </row>
    <row r="45" spans="4:20" hidden="1" x14ac:dyDescent="0.25">
      <c r="R45" t="s">
        <v>253</v>
      </c>
    </row>
    <row r="46" spans="4:20" hidden="1" x14ac:dyDescent="0.25">
      <c r="D46">
        <v>5</v>
      </c>
      <c r="E46" t="s">
        <v>256</v>
      </c>
      <c r="R46" t="s">
        <v>254</v>
      </c>
    </row>
    <row r="47" spans="4:20" hidden="1" x14ac:dyDescent="0.25">
      <c r="F47" t="s">
        <v>228</v>
      </c>
      <c r="I47" t="s">
        <v>229</v>
      </c>
      <c r="R47" t="s">
        <v>255</v>
      </c>
    </row>
    <row r="48" spans="4:20" hidden="1" x14ac:dyDescent="0.25">
      <c r="F48" t="s">
        <v>230</v>
      </c>
      <c r="I48" t="s">
        <v>231</v>
      </c>
      <c r="R48" t="s">
        <v>256</v>
      </c>
    </row>
    <row r="49" spans="2:18" hidden="1" x14ac:dyDescent="0.25">
      <c r="F49" t="s">
        <v>232</v>
      </c>
      <c r="G49" t="s">
        <v>233</v>
      </c>
      <c r="R49" t="s">
        <v>234</v>
      </c>
    </row>
    <row r="50" spans="2:18" hidden="1" x14ac:dyDescent="0.25">
      <c r="G50" t="s">
        <v>200</v>
      </c>
    </row>
    <row r="51" spans="2:18" hidden="1" x14ac:dyDescent="0.25">
      <c r="G51" t="s">
        <v>201</v>
      </c>
    </row>
    <row r="52" spans="2:18" hidden="1" x14ac:dyDescent="0.25"/>
    <row r="53" spans="2:18" x14ac:dyDescent="0.25">
      <c r="B53" s="25" t="s">
        <v>259</v>
      </c>
      <c r="C53" s="25" t="s">
        <v>7</v>
      </c>
      <c r="D53" s="25" t="s">
        <v>260</v>
      </c>
      <c r="E53" s="25" t="s">
        <v>262</v>
      </c>
      <c r="F53" s="25" t="s">
        <v>261</v>
      </c>
    </row>
    <row r="55" spans="2:18" ht="15.75" thickBot="1" x14ac:dyDescent="0.3">
      <c r="F55" s="66"/>
    </row>
    <row r="56" spans="2:18" hidden="1" x14ac:dyDescent="0.25">
      <c r="E56" t="s">
        <v>257</v>
      </c>
    </row>
    <row r="57" spans="2:18" hidden="1" x14ac:dyDescent="0.25">
      <c r="F57" s="66">
        <v>5</v>
      </c>
      <c r="G57" s="66">
        <v>0</v>
      </c>
      <c r="I57" t="s">
        <v>200</v>
      </c>
    </row>
    <row r="58" spans="2:18" hidden="1" x14ac:dyDescent="0.25">
      <c r="F58" s="66">
        <v>5</v>
      </c>
      <c r="G58" s="66">
        <v>1</v>
      </c>
      <c r="I58" t="s">
        <v>201</v>
      </c>
    </row>
    <row r="59" spans="2:18" hidden="1" x14ac:dyDescent="0.25">
      <c r="F59" s="66">
        <v>3</v>
      </c>
      <c r="G59" s="66">
        <v>0</v>
      </c>
      <c r="I59" t="s">
        <v>191</v>
      </c>
    </row>
    <row r="60" spans="2:18" hidden="1" x14ac:dyDescent="0.25">
      <c r="F60" s="66">
        <v>3</v>
      </c>
      <c r="G60" s="66">
        <v>1</v>
      </c>
      <c r="I60" t="s">
        <v>192</v>
      </c>
    </row>
    <row r="61" spans="2:18" hidden="1" x14ac:dyDescent="0.25">
      <c r="F61" s="66">
        <v>2</v>
      </c>
      <c r="G61" s="66">
        <v>0</v>
      </c>
      <c r="I61" s="69" t="s">
        <v>193</v>
      </c>
    </row>
    <row r="62" spans="2:18" hidden="1" x14ac:dyDescent="0.25">
      <c r="F62" s="66">
        <v>2</v>
      </c>
      <c r="G62" s="66">
        <v>1</v>
      </c>
      <c r="I62" s="69" t="s">
        <v>194</v>
      </c>
    </row>
    <row r="63" spans="2:18" hidden="1" x14ac:dyDescent="0.25">
      <c r="F63" s="66">
        <v>0</v>
      </c>
      <c r="G63" s="66">
        <v>0</v>
      </c>
      <c r="I63" t="s">
        <v>211</v>
      </c>
    </row>
    <row r="64" spans="2:18" hidden="1" x14ac:dyDescent="0.25">
      <c r="F64" s="66">
        <v>0</v>
      </c>
      <c r="G64" s="66">
        <v>1</v>
      </c>
      <c r="I64" t="s">
        <v>212</v>
      </c>
    </row>
    <row r="65" spans="5:9" hidden="1" x14ac:dyDescent="0.25">
      <c r="F65" s="66"/>
      <c r="G65" s="66"/>
    </row>
    <row r="66" spans="5:9" hidden="1" x14ac:dyDescent="0.25">
      <c r="F66" s="66"/>
      <c r="G66" s="66"/>
    </row>
    <row r="67" spans="5:9" hidden="1" x14ac:dyDescent="0.25">
      <c r="E67" t="s">
        <v>258</v>
      </c>
      <c r="F67" s="66"/>
      <c r="G67" s="66"/>
    </row>
    <row r="68" spans="5:9" hidden="1" x14ac:dyDescent="0.25">
      <c r="F68" s="66">
        <v>1</v>
      </c>
      <c r="G68" s="66">
        <v>0</v>
      </c>
      <c r="I68" t="s">
        <v>195</v>
      </c>
    </row>
    <row r="69" spans="5:9" hidden="1" x14ac:dyDescent="0.25">
      <c r="F69" s="66">
        <v>1</v>
      </c>
      <c r="G69" s="66">
        <v>2</v>
      </c>
      <c r="I69" t="s">
        <v>196</v>
      </c>
    </row>
    <row r="70" spans="5:9" hidden="1" x14ac:dyDescent="0.25">
      <c r="F70" s="66">
        <v>1</v>
      </c>
      <c r="G70" s="66">
        <v>1</v>
      </c>
      <c r="H70" s="66">
        <v>0</v>
      </c>
      <c r="I70" t="s">
        <v>197</v>
      </c>
    </row>
    <row r="71" spans="5:9" hidden="1" x14ac:dyDescent="0.25">
      <c r="F71" s="66">
        <v>1</v>
      </c>
      <c r="G71" s="66">
        <v>1</v>
      </c>
      <c r="H71" s="66">
        <v>1</v>
      </c>
      <c r="I71" t="s">
        <v>198</v>
      </c>
    </row>
    <row r="72" spans="5:9" hidden="1" x14ac:dyDescent="0.25">
      <c r="F72" s="66">
        <v>1</v>
      </c>
      <c r="G72" s="66">
        <v>1</v>
      </c>
      <c r="I72" t="s">
        <v>199</v>
      </c>
    </row>
    <row r="73" spans="5:9" hidden="1" x14ac:dyDescent="0.25">
      <c r="F73" s="66">
        <v>4</v>
      </c>
      <c r="G73" s="66">
        <v>1</v>
      </c>
      <c r="I73" t="s">
        <v>202</v>
      </c>
    </row>
    <row r="74" spans="5:9" hidden="1" x14ac:dyDescent="0.25">
      <c r="F74" s="66">
        <v>4</v>
      </c>
      <c r="G74" s="66">
        <v>1</v>
      </c>
      <c r="H74" s="67">
        <v>0</v>
      </c>
      <c r="I74" t="s">
        <v>203</v>
      </c>
    </row>
    <row r="75" spans="5:9" hidden="1" x14ac:dyDescent="0.25">
      <c r="F75" s="66">
        <v>4</v>
      </c>
      <c r="G75" s="66">
        <v>1</v>
      </c>
      <c r="H75" s="67">
        <v>1</v>
      </c>
      <c r="I75" t="s">
        <v>204</v>
      </c>
    </row>
    <row r="76" spans="5:9" hidden="1" x14ac:dyDescent="0.25">
      <c r="F76" s="66">
        <v>4</v>
      </c>
      <c r="G76" s="66">
        <v>1</v>
      </c>
      <c r="H76" s="67">
        <v>2</v>
      </c>
      <c r="I76" t="s">
        <v>205</v>
      </c>
    </row>
    <row r="77" spans="5:9" hidden="1" x14ac:dyDescent="0.25">
      <c r="F77" s="66">
        <v>4</v>
      </c>
      <c r="G77" s="66">
        <v>1</v>
      </c>
      <c r="H77" s="67">
        <v>3</v>
      </c>
      <c r="I77" t="s">
        <v>206</v>
      </c>
    </row>
    <row r="78" spans="5:9" hidden="1" x14ac:dyDescent="0.25">
      <c r="F78" s="66">
        <v>4</v>
      </c>
      <c r="G78" s="66">
        <v>1</v>
      </c>
      <c r="H78" s="67">
        <v>4</v>
      </c>
      <c r="I78" t="s">
        <v>207</v>
      </c>
    </row>
    <row r="79" spans="5:9" hidden="1" x14ac:dyDescent="0.25">
      <c r="F79" s="66">
        <v>4</v>
      </c>
      <c r="G79" s="66">
        <v>1</v>
      </c>
      <c r="H79" s="67">
        <v>5</v>
      </c>
      <c r="I79" t="s">
        <v>208</v>
      </c>
    </row>
    <row r="80" spans="5:9" hidden="1" x14ac:dyDescent="0.25">
      <c r="F80" s="66">
        <v>4</v>
      </c>
      <c r="G80" s="66">
        <v>2</v>
      </c>
      <c r="H80" s="67">
        <v>6</v>
      </c>
      <c r="I80" t="s">
        <v>210</v>
      </c>
    </row>
    <row r="81" spans="1:15" hidden="1" x14ac:dyDescent="0.25"/>
    <row r="82" spans="1:15" x14ac:dyDescent="0.25">
      <c r="J82" s="29" t="s">
        <v>275</v>
      </c>
      <c r="K82" s="30"/>
      <c r="L82" s="30"/>
      <c r="M82" s="30"/>
      <c r="N82" s="30"/>
      <c r="O82" s="32"/>
    </row>
    <row r="83" spans="1:15" x14ac:dyDescent="0.25">
      <c r="J83" s="33"/>
      <c r="K83" s="22" t="s">
        <v>181</v>
      </c>
      <c r="L83" s="22"/>
      <c r="M83" s="22"/>
      <c r="N83" s="22"/>
      <c r="O83" s="35"/>
    </row>
    <row r="84" spans="1:15" x14ac:dyDescent="0.25">
      <c r="A84" s="25" t="s">
        <v>258</v>
      </c>
      <c r="B84" s="71" t="s">
        <v>195</v>
      </c>
      <c r="C84" t="s">
        <v>278</v>
      </c>
      <c r="D84" s="25">
        <v>0</v>
      </c>
      <c r="E84" s="25" t="s">
        <v>264</v>
      </c>
      <c r="F84" s="25" t="s">
        <v>280</v>
      </c>
      <c r="J84" s="33"/>
      <c r="K84" s="34" t="str">
        <f t="shared" ref="K84:K102" si="0">("{"&amp;B84&amp;", "&amp;C84&amp;", "&amp;D84&amp;", "&amp;E84&amp;", "&amp;F84&amp;"}"&amp;",")</f>
        <v>{PolVint1V0_V, linear16_12, 0, 0x66, 0x8B},</v>
      </c>
      <c r="L84" s="22"/>
      <c r="M84" s="22"/>
      <c r="N84" s="22"/>
      <c r="O84" s="35"/>
    </row>
    <row r="85" spans="1:15" x14ac:dyDescent="0.25">
      <c r="A85" s="25" t="s">
        <v>258</v>
      </c>
      <c r="B85" s="71" t="s">
        <v>197</v>
      </c>
      <c r="C85" t="s">
        <v>271</v>
      </c>
      <c r="D85" s="25">
        <v>0</v>
      </c>
      <c r="E85" s="25" t="s">
        <v>264</v>
      </c>
      <c r="F85" s="25" t="s">
        <v>269</v>
      </c>
      <c r="J85" s="33"/>
      <c r="K85" s="34" t="str">
        <f t="shared" si="0"/>
        <v>{PolVint1V_I0, linear11, 0, 0x66, 0x8C},</v>
      </c>
      <c r="L85" s="22"/>
      <c r="M85" s="22"/>
      <c r="N85" s="22"/>
      <c r="O85" s="35"/>
    </row>
    <row r="86" spans="1:15" x14ac:dyDescent="0.25">
      <c r="A86" s="25" t="s">
        <v>258</v>
      </c>
      <c r="B86" s="71" t="s">
        <v>198</v>
      </c>
      <c r="C86" t="s">
        <v>278</v>
      </c>
      <c r="D86" s="25">
        <v>1</v>
      </c>
      <c r="E86" s="25" t="s">
        <v>264</v>
      </c>
      <c r="F86" s="25" t="s">
        <v>269</v>
      </c>
      <c r="J86" s="33"/>
      <c r="K86" s="34" t="str">
        <f t="shared" si="0"/>
        <v>{PolVint1V_I1, linear16_12, 1, 0x66, 0x8C},</v>
      </c>
      <c r="L86" s="22"/>
      <c r="M86" s="22"/>
      <c r="N86" s="22"/>
      <c r="O86" s="35"/>
    </row>
    <row r="87" spans="1:15" x14ac:dyDescent="0.25">
      <c r="A87" s="25" t="s">
        <v>258</v>
      </c>
      <c r="B87" s="71" t="s">
        <v>196</v>
      </c>
      <c r="C87" t="s">
        <v>271</v>
      </c>
      <c r="D87" s="25">
        <v>0</v>
      </c>
      <c r="E87" s="25" t="s">
        <v>264</v>
      </c>
      <c r="F87" s="25" t="s">
        <v>270</v>
      </c>
      <c r="J87" s="33"/>
      <c r="K87" s="34" t="str">
        <f t="shared" si="0"/>
        <v>{PolVint1V0_T, linear11, 0, 0x66, 0x8D},</v>
      </c>
      <c r="L87" s="22"/>
      <c r="M87" s="22"/>
      <c r="N87" s="22"/>
      <c r="O87" s="35"/>
    </row>
    <row r="88" spans="1:15" x14ac:dyDescent="0.25">
      <c r="A88" s="25" t="s">
        <v>257</v>
      </c>
      <c r="B88" s="70" t="s">
        <v>191</v>
      </c>
      <c r="C88" t="s">
        <v>277</v>
      </c>
      <c r="D88" s="25">
        <v>0</v>
      </c>
      <c r="E88" s="25" t="s">
        <v>266</v>
      </c>
      <c r="F88" s="25" t="s">
        <v>280</v>
      </c>
      <c r="J88" s="33"/>
      <c r="K88" s="34" t="str">
        <f t="shared" si="0"/>
        <v>{PolMgt1V0_V, linear16_9, 0, 0x10, 0x8B},</v>
      </c>
      <c r="L88" s="22"/>
      <c r="M88" s="22"/>
      <c r="N88" s="22"/>
      <c r="O88" s="35"/>
    </row>
    <row r="89" spans="1:15" x14ac:dyDescent="0.25">
      <c r="A89" s="25" t="s">
        <v>257</v>
      </c>
      <c r="B89" s="70" t="s">
        <v>192</v>
      </c>
      <c r="C89" t="s">
        <v>271</v>
      </c>
      <c r="D89" s="25">
        <v>0</v>
      </c>
      <c r="E89" s="25" t="s">
        <v>266</v>
      </c>
      <c r="F89" s="25" t="s">
        <v>269</v>
      </c>
      <c r="J89" s="33"/>
      <c r="K89" s="34" t="str">
        <f t="shared" si="0"/>
        <v>{PolMgt1V0_I, linear11, 0, 0x10, 0x8C},</v>
      </c>
      <c r="L89" s="22"/>
      <c r="M89" s="22"/>
      <c r="N89" s="22"/>
      <c r="O89" s="35"/>
    </row>
    <row r="90" spans="1:15" x14ac:dyDescent="0.25">
      <c r="A90" s="25" t="s">
        <v>257</v>
      </c>
      <c r="B90" s="71" t="s">
        <v>193</v>
      </c>
      <c r="C90" t="s">
        <v>277</v>
      </c>
      <c r="D90" s="25">
        <v>0</v>
      </c>
      <c r="E90" s="25" t="s">
        <v>265</v>
      </c>
      <c r="F90" s="25" t="s">
        <v>280</v>
      </c>
      <c r="J90" s="33"/>
      <c r="K90" s="34" t="str">
        <f t="shared" si="0"/>
        <v>{PolMgt1V2_V, linear16_9, 0, 0x02, 0x8B},</v>
      </c>
      <c r="L90" s="22"/>
      <c r="M90" s="22"/>
      <c r="N90" s="22"/>
      <c r="O90" s="35"/>
    </row>
    <row r="91" spans="1:15" x14ac:dyDescent="0.25">
      <c r="A91" s="25" t="s">
        <v>257</v>
      </c>
      <c r="B91" s="71" t="s">
        <v>194</v>
      </c>
      <c r="C91" t="s">
        <v>271</v>
      </c>
      <c r="D91" s="25">
        <v>0</v>
      </c>
      <c r="E91" s="25" t="s">
        <v>265</v>
      </c>
      <c r="F91" s="25" t="s">
        <v>269</v>
      </c>
      <c r="J91" s="33"/>
      <c r="K91" s="34" t="str">
        <f t="shared" si="0"/>
        <v>{PolMgt1V2_I, linear11, 0, 0x02, 0x8C},</v>
      </c>
      <c r="L91" s="22"/>
      <c r="M91" s="22"/>
      <c r="N91" s="22"/>
      <c r="O91" s="35"/>
    </row>
    <row r="92" spans="1:15" x14ac:dyDescent="0.25">
      <c r="A92" s="25" t="s">
        <v>257</v>
      </c>
      <c r="B92" s="70" t="s">
        <v>200</v>
      </c>
      <c r="C92" t="s">
        <v>277</v>
      </c>
      <c r="D92" s="25">
        <v>0</v>
      </c>
      <c r="E92" s="25" t="s">
        <v>267</v>
      </c>
      <c r="F92" s="25" t="s">
        <v>280</v>
      </c>
      <c r="J92" s="33"/>
      <c r="K92" s="34" t="str">
        <f t="shared" si="0"/>
        <v>{PolL2Avdd_V, linear16_9, 0, 0x18, 0x8B},</v>
      </c>
      <c r="L92" s="22"/>
      <c r="M92" s="22"/>
      <c r="N92" s="22"/>
      <c r="O92" s="35"/>
    </row>
    <row r="93" spans="1:15" x14ac:dyDescent="0.25">
      <c r="A93" s="25" t="s">
        <v>257</v>
      </c>
      <c r="B93" s="70" t="s">
        <v>201</v>
      </c>
      <c r="C93" t="s">
        <v>271</v>
      </c>
      <c r="D93" s="25">
        <v>0</v>
      </c>
      <c r="E93" s="25" t="s">
        <v>267</v>
      </c>
      <c r="F93" s="25" t="s">
        <v>269</v>
      </c>
      <c r="J93" s="33"/>
      <c r="K93" s="34" t="str">
        <f t="shared" si="0"/>
        <v>{PolL2Avdd_I, linear11, 0, 0x18, 0x8C},</v>
      </c>
      <c r="L93" s="22"/>
      <c r="M93" s="22"/>
      <c r="N93" s="22"/>
      <c r="O93" s="35"/>
    </row>
    <row r="94" spans="1:15" x14ac:dyDescent="0.25">
      <c r="A94" s="25" t="s">
        <v>258</v>
      </c>
      <c r="B94" s="71" t="s">
        <v>202</v>
      </c>
      <c r="C94" t="s">
        <v>278</v>
      </c>
      <c r="D94" s="25">
        <v>0</v>
      </c>
      <c r="E94" s="25" t="s">
        <v>268</v>
      </c>
      <c r="F94" s="25" t="s">
        <v>280</v>
      </c>
      <c r="J94" s="33"/>
      <c r="K94" s="34" t="str">
        <f t="shared" si="0"/>
        <v>{PolL2Vdd_V, linear16_12, 0, 0x68, 0x8B},</v>
      </c>
      <c r="L94" s="22"/>
      <c r="M94" s="22"/>
      <c r="N94" s="22"/>
      <c r="O94" s="35"/>
    </row>
    <row r="95" spans="1:15" x14ac:dyDescent="0.25">
      <c r="A95" s="25" t="s">
        <v>258</v>
      </c>
      <c r="B95" s="71" t="s">
        <v>203</v>
      </c>
      <c r="C95" t="s">
        <v>271</v>
      </c>
      <c r="D95" s="25">
        <v>0</v>
      </c>
      <c r="E95" s="25" t="s">
        <v>268</v>
      </c>
      <c r="F95" s="25" t="s">
        <v>269</v>
      </c>
      <c r="J95" s="33"/>
      <c r="K95" s="34" t="str">
        <f t="shared" si="0"/>
        <v>{PolL2Vdd_I0, linear11, 0, 0x68, 0x8C},</v>
      </c>
      <c r="L95" s="22"/>
      <c r="M95" s="22"/>
      <c r="N95" s="22"/>
      <c r="O95" s="35"/>
    </row>
    <row r="96" spans="1:15" x14ac:dyDescent="0.25">
      <c r="A96" s="25" t="s">
        <v>258</v>
      </c>
      <c r="B96" s="71" t="s">
        <v>204</v>
      </c>
      <c r="C96" t="s">
        <v>271</v>
      </c>
      <c r="D96" s="25">
        <v>1</v>
      </c>
      <c r="E96" s="25" t="s">
        <v>268</v>
      </c>
      <c r="F96" s="25" t="s">
        <v>269</v>
      </c>
      <c r="J96" s="33"/>
      <c r="K96" s="34" t="str">
        <f t="shared" si="0"/>
        <v>{PolL2Vdd_I1, linear11, 1, 0x68, 0x8C},</v>
      </c>
      <c r="L96" s="22"/>
      <c r="M96" s="22"/>
      <c r="N96" s="22"/>
      <c r="O96" s="35"/>
    </row>
    <row r="97" spans="1:15" x14ac:dyDescent="0.25">
      <c r="A97" s="25" t="s">
        <v>258</v>
      </c>
      <c r="B97" s="71" t="s">
        <v>205</v>
      </c>
      <c r="C97" t="s">
        <v>271</v>
      </c>
      <c r="D97" s="25">
        <v>2</v>
      </c>
      <c r="E97" s="25" t="s">
        <v>268</v>
      </c>
      <c r="F97" s="25" t="s">
        <v>269</v>
      </c>
      <c r="J97" s="33"/>
      <c r="K97" s="34" t="str">
        <f t="shared" si="0"/>
        <v>{PolL2Vdd_I2, linear11, 2, 0x68, 0x8C},</v>
      </c>
      <c r="L97" s="22"/>
      <c r="M97" s="22"/>
      <c r="N97" s="22"/>
      <c r="O97" s="35"/>
    </row>
    <row r="98" spans="1:15" x14ac:dyDescent="0.25">
      <c r="A98" s="25" t="s">
        <v>258</v>
      </c>
      <c r="B98" s="71" t="s">
        <v>206</v>
      </c>
      <c r="C98" t="s">
        <v>271</v>
      </c>
      <c r="D98" s="25">
        <v>3</v>
      </c>
      <c r="E98" s="25" t="s">
        <v>268</v>
      </c>
      <c r="F98" s="25" t="s">
        <v>269</v>
      </c>
      <c r="J98" s="33"/>
      <c r="K98" s="34" t="str">
        <f t="shared" si="0"/>
        <v>{PolL2Vdd_I3, linear11, 3, 0x68, 0x8C},</v>
      </c>
      <c r="L98" s="22"/>
      <c r="M98" s="22"/>
      <c r="N98" s="22"/>
      <c r="O98" s="35"/>
    </row>
    <row r="99" spans="1:15" x14ac:dyDescent="0.25">
      <c r="A99" s="25" t="s">
        <v>258</v>
      </c>
      <c r="B99" s="71" t="s">
        <v>207</v>
      </c>
      <c r="C99" t="s">
        <v>271</v>
      </c>
      <c r="D99" s="25">
        <v>4</v>
      </c>
      <c r="E99" s="25" t="s">
        <v>268</v>
      </c>
      <c r="F99" s="25" t="s">
        <v>269</v>
      </c>
      <c r="J99" s="33"/>
      <c r="K99" s="34" t="str">
        <f t="shared" si="0"/>
        <v>{PolL2Vdd_I4, linear11, 4, 0x68, 0x8C},</v>
      </c>
      <c r="L99" s="22"/>
      <c r="M99" s="22"/>
      <c r="N99" s="22"/>
      <c r="O99" s="35"/>
    </row>
    <row r="100" spans="1:15" x14ac:dyDescent="0.25">
      <c r="A100" s="25" t="s">
        <v>258</v>
      </c>
      <c r="B100" s="71" t="s">
        <v>208</v>
      </c>
      <c r="C100" t="s">
        <v>271</v>
      </c>
      <c r="D100" s="25">
        <v>5</v>
      </c>
      <c r="E100" s="25" t="s">
        <v>268</v>
      </c>
      <c r="F100" s="25" t="s">
        <v>269</v>
      </c>
      <c r="J100" s="33"/>
      <c r="K100" s="34" t="str">
        <f t="shared" si="0"/>
        <v>{PolL2Vdd_I5, linear11, 5, 0x68, 0x8C},</v>
      </c>
      <c r="L100" s="22"/>
      <c r="M100" s="22"/>
      <c r="N100" s="22"/>
      <c r="O100" s="35"/>
    </row>
    <row r="101" spans="1:15" x14ac:dyDescent="0.25">
      <c r="A101" s="25" t="s">
        <v>258</v>
      </c>
      <c r="B101" s="71" t="s">
        <v>210</v>
      </c>
      <c r="C101" t="s">
        <v>271</v>
      </c>
      <c r="D101" s="25">
        <v>6</v>
      </c>
      <c r="E101" s="25" t="s">
        <v>268</v>
      </c>
      <c r="F101" s="25" t="s">
        <v>270</v>
      </c>
      <c r="J101" s="33"/>
      <c r="K101" s="34" t="str">
        <f t="shared" si="0"/>
        <v>{PolL2Vdd_T, linear11, 6, 0x68, 0x8D},</v>
      </c>
      <c r="L101" s="22"/>
      <c r="M101" s="22"/>
      <c r="N101" s="22"/>
      <c r="O101" s="35"/>
    </row>
    <row r="102" spans="1:15" x14ac:dyDescent="0.25">
      <c r="A102" s="25" t="s">
        <v>257</v>
      </c>
      <c r="B102" s="70" t="s">
        <v>211</v>
      </c>
      <c r="C102" t="s">
        <v>277</v>
      </c>
      <c r="D102" s="25">
        <v>0</v>
      </c>
      <c r="E102" s="25" t="s">
        <v>263</v>
      </c>
      <c r="F102" s="25" t="s">
        <v>280</v>
      </c>
      <c r="J102" s="33"/>
      <c r="K102" s="34" t="str">
        <f t="shared" si="0"/>
        <v>{Pol3V3_V, linear16_9, 0, 0x38, 0x8B},</v>
      </c>
      <c r="L102" s="22"/>
      <c r="M102" s="22"/>
      <c r="N102" s="22"/>
      <c r="O102" s="35"/>
    </row>
    <row r="103" spans="1:15" x14ac:dyDescent="0.25">
      <c r="A103" s="25" t="s">
        <v>257</v>
      </c>
      <c r="B103" s="70" t="s">
        <v>212</v>
      </c>
      <c r="C103" t="s">
        <v>271</v>
      </c>
      <c r="D103" s="25">
        <v>0</v>
      </c>
      <c r="E103" s="25" t="s">
        <v>263</v>
      </c>
      <c r="F103" s="25" t="s">
        <v>269</v>
      </c>
      <c r="J103" s="33"/>
      <c r="K103" s="34" t="str">
        <f>("{"&amp;B103&amp;", "&amp;C103&amp;", "&amp;D103&amp;", "&amp;E103&amp;", "&amp;F103&amp;"}")</f>
        <v>{Pol3V3_I, linear11, 0, 0x38, 0x8C}</v>
      </c>
      <c r="L103" s="22"/>
      <c r="M103" s="22"/>
      <c r="N103" s="22"/>
      <c r="O103" s="35"/>
    </row>
    <row r="104" spans="1:15" ht="15.75" thickBot="1" x14ac:dyDescent="0.3">
      <c r="J104" s="53"/>
      <c r="K104" s="36" t="s">
        <v>182</v>
      </c>
      <c r="L104" s="36"/>
      <c r="M104" s="36"/>
      <c r="N104" s="36"/>
      <c r="O104" s="38"/>
    </row>
    <row r="106" spans="1:15" ht="15.75" thickBot="1" x14ac:dyDescent="0.3"/>
    <row r="107" spans="1:15" x14ac:dyDescent="0.25">
      <c r="C107" s="29" t="s">
        <v>216</v>
      </c>
      <c r="D107" s="30"/>
      <c r="E107" s="30"/>
      <c r="F107" s="30"/>
      <c r="G107" s="30"/>
      <c r="H107" s="32"/>
    </row>
    <row r="108" spans="1:15" x14ac:dyDescent="0.25">
      <c r="C108" s="33" t="s">
        <v>217</v>
      </c>
      <c r="D108" s="22"/>
      <c r="E108" s="22"/>
      <c r="F108" s="22"/>
      <c r="G108" s="22"/>
      <c r="H108" s="35"/>
    </row>
    <row r="109" spans="1:15" x14ac:dyDescent="0.25">
      <c r="C109" s="33"/>
      <c r="D109" s="34" t="s">
        <v>272</v>
      </c>
      <c r="E109" s="22"/>
      <c r="F109" s="22"/>
      <c r="G109" s="22"/>
      <c r="H109" s="35"/>
    </row>
    <row r="110" spans="1:15" x14ac:dyDescent="0.25">
      <c r="C110" s="33"/>
      <c r="D110" s="22" t="s">
        <v>276</v>
      </c>
      <c r="E110" s="22"/>
      <c r="F110" s="22"/>
      <c r="G110" s="22"/>
      <c r="H110" s="35"/>
    </row>
    <row r="111" spans="1:15" x14ac:dyDescent="0.25">
      <c r="C111" s="33"/>
      <c r="D111" s="22" t="s">
        <v>279</v>
      </c>
      <c r="E111" s="22"/>
      <c r="F111" s="22"/>
      <c r="G111" s="22"/>
      <c r="H111" s="35"/>
    </row>
    <row r="112" spans="1:15" x14ac:dyDescent="0.25">
      <c r="C112" s="33"/>
      <c r="D112" s="22" t="s">
        <v>274</v>
      </c>
      <c r="E112" s="22"/>
      <c r="F112" s="22"/>
      <c r="G112" s="22"/>
      <c r="H112" s="35"/>
    </row>
    <row r="113" spans="3:8" x14ac:dyDescent="0.25">
      <c r="C113" s="33"/>
      <c r="D113" s="22" t="s">
        <v>273</v>
      </c>
      <c r="E113" s="22"/>
      <c r="F113" s="22"/>
      <c r="G113" s="22"/>
      <c r="H113" s="35"/>
    </row>
    <row r="114" spans="3:8" ht="15.75" thickBot="1" x14ac:dyDescent="0.3">
      <c r="C114" s="53" t="s">
        <v>249</v>
      </c>
      <c r="D114" s="36"/>
      <c r="E114" s="36"/>
      <c r="F114" s="36"/>
      <c r="G114" s="36"/>
      <c r="H114" s="38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CC11"/>
  <sheetViews>
    <sheetView workbookViewId="0">
      <selection activeCell="Z15" sqref="Z15"/>
    </sheetView>
  </sheetViews>
  <sheetFormatPr defaultColWidth="3.28515625" defaultRowHeight="15" x14ac:dyDescent="0.25"/>
  <sheetData>
    <row r="1" spans="1:81" ht="15.75" thickBot="1" x14ac:dyDescent="0.3">
      <c r="A1" s="29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  <c r="X1" s="30">
        <v>24</v>
      </c>
      <c r="Y1" s="30">
        <v>25</v>
      </c>
      <c r="Z1" s="30">
        <v>26</v>
      </c>
      <c r="AA1" s="30">
        <v>27</v>
      </c>
      <c r="AB1" s="30">
        <v>28</v>
      </c>
      <c r="AC1" s="30">
        <v>29</v>
      </c>
      <c r="AD1" s="30">
        <v>30</v>
      </c>
      <c r="AE1" s="30">
        <v>31</v>
      </c>
      <c r="AF1" s="30">
        <v>32</v>
      </c>
      <c r="AG1" s="30">
        <v>33</v>
      </c>
      <c r="AH1" s="30">
        <v>34</v>
      </c>
      <c r="AI1" s="30">
        <v>35</v>
      </c>
      <c r="AJ1" s="30">
        <v>36</v>
      </c>
      <c r="AK1" s="30">
        <v>37</v>
      </c>
      <c r="AL1" s="30">
        <v>38</v>
      </c>
      <c r="AM1" s="30">
        <v>39</v>
      </c>
      <c r="AN1" s="30">
        <v>40</v>
      </c>
      <c r="AO1" s="30">
        <v>41</v>
      </c>
      <c r="AP1" s="30">
        <v>42</v>
      </c>
      <c r="AQ1" s="30">
        <v>43</v>
      </c>
      <c r="AR1" s="30">
        <v>44</v>
      </c>
      <c r="AS1" s="30">
        <v>45</v>
      </c>
      <c r="AT1" s="30">
        <v>46</v>
      </c>
      <c r="AU1" s="30">
        <v>47</v>
      </c>
      <c r="AV1" s="30">
        <v>48</v>
      </c>
      <c r="AW1" s="30">
        <v>49</v>
      </c>
      <c r="AX1" s="30">
        <v>50</v>
      </c>
      <c r="AY1" s="30">
        <v>51</v>
      </c>
      <c r="AZ1" s="30">
        <v>52</v>
      </c>
      <c r="BA1" s="31">
        <v>53</v>
      </c>
      <c r="BB1" s="31">
        <v>54</v>
      </c>
      <c r="BC1" s="31">
        <v>55</v>
      </c>
      <c r="BD1" s="31">
        <v>56</v>
      </c>
      <c r="BE1" s="31">
        <v>57</v>
      </c>
      <c r="BF1" s="31">
        <v>58</v>
      </c>
      <c r="BG1" s="31">
        <v>59</v>
      </c>
      <c r="BH1" s="31">
        <v>60</v>
      </c>
      <c r="BI1" s="31">
        <v>61</v>
      </c>
      <c r="BJ1" s="31">
        <v>62</v>
      </c>
      <c r="BK1" s="31">
        <v>63</v>
      </c>
      <c r="BL1" s="31">
        <v>64</v>
      </c>
      <c r="BM1" s="31">
        <v>65</v>
      </c>
      <c r="BN1" s="31">
        <v>66</v>
      </c>
      <c r="BO1" s="31">
        <v>67</v>
      </c>
      <c r="BP1" s="31">
        <v>68</v>
      </c>
      <c r="BQ1" s="31">
        <v>69</v>
      </c>
      <c r="BR1" s="31">
        <v>70</v>
      </c>
      <c r="BS1" s="31">
        <v>71</v>
      </c>
      <c r="BT1" s="31">
        <v>72</v>
      </c>
      <c r="BU1" s="30">
        <v>73</v>
      </c>
      <c r="BV1" s="30">
        <v>74</v>
      </c>
      <c r="BW1" s="30">
        <v>75</v>
      </c>
      <c r="BX1" s="30">
        <v>76</v>
      </c>
      <c r="BY1" s="30">
        <v>77</v>
      </c>
      <c r="BZ1" s="30">
        <v>78</v>
      </c>
      <c r="CA1" s="30">
        <v>79</v>
      </c>
      <c r="CB1" s="32">
        <v>80</v>
      </c>
    </row>
    <row r="2" spans="1:81" ht="15.75" thickBot="1" x14ac:dyDescent="0.3">
      <c r="A2" s="16" t="s">
        <v>3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2" t="s">
        <v>2</v>
      </c>
      <c r="R2" s="4"/>
      <c r="S2" s="207" t="s">
        <v>17</v>
      </c>
      <c r="T2" s="208"/>
      <c r="U2" s="208"/>
      <c r="V2" s="208"/>
      <c r="W2" s="208"/>
      <c r="X2" s="209"/>
      <c r="Y2" s="3" t="s">
        <v>4</v>
      </c>
      <c r="Z2" s="13" t="s">
        <v>2</v>
      </c>
      <c r="AA2" s="14"/>
      <c r="AB2" s="16" t="s">
        <v>3</v>
      </c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2" t="s">
        <v>2</v>
      </c>
      <c r="AS2" s="4"/>
      <c r="AT2" s="207" t="s">
        <v>17</v>
      </c>
      <c r="AU2" s="208"/>
      <c r="AV2" s="208"/>
      <c r="AW2" s="208"/>
      <c r="AX2" s="208"/>
      <c r="AY2" s="209"/>
      <c r="AZ2" s="3" t="s">
        <v>4</v>
      </c>
      <c r="BA2" s="26" t="s">
        <v>2</v>
      </c>
      <c r="BB2" s="27"/>
      <c r="BC2" s="26" t="s">
        <v>3</v>
      </c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6" t="s">
        <v>2</v>
      </c>
      <c r="BT2" s="28"/>
      <c r="BU2" s="207" t="s">
        <v>17</v>
      </c>
      <c r="BV2" s="208"/>
      <c r="BW2" s="208"/>
      <c r="BX2" s="208"/>
      <c r="BY2" s="208"/>
      <c r="BZ2" s="209"/>
      <c r="CA2" s="18" t="s">
        <v>4</v>
      </c>
      <c r="CB2" s="20" t="s">
        <v>2</v>
      </c>
      <c r="CC2" s="19"/>
    </row>
    <row r="3" spans="1:81" ht="15.75" thickBot="1" x14ac:dyDescent="0.3">
      <c r="A3" s="33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9"/>
      <c r="T3" s="30"/>
      <c r="U3" s="30"/>
      <c r="V3" s="30"/>
      <c r="W3" s="30"/>
      <c r="X3" s="3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U3" s="22"/>
      <c r="AV3" s="22"/>
      <c r="AW3" s="39"/>
      <c r="AX3" s="22"/>
      <c r="AY3" s="22"/>
      <c r="AZ3" s="22"/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4"/>
      <c r="BU3" s="22"/>
      <c r="BV3" s="22"/>
      <c r="BW3" s="22"/>
      <c r="BX3" s="39"/>
      <c r="BY3" s="22"/>
      <c r="BZ3" s="22"/>
      <c r="CA3" s="22"/>
      <c r="CB3" s="35"/>
    </row>
    <row r="4" spans="1:81" x14ac:dyDescent="0.25">
      <c r="A4" s="33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6">
        <v>0</v>
      </c>
      <c r="T4" s="7"/>
      <c r="U4" s="41" t="s">
        <v>10</v>
      </c>
      <c r="V4" s="41"/>
      <c r="W4" s="41"/>
      <c r="X4" s="41"/>
      <c r="Y4" s="7">
        <v>1</v>
      </c>
      <c r="Z4" s="7">
        <v>2</v>
      </c>
      <c r="AA4" s="8">
        <v>3</v>
      </c>
      <c r="AB4" s="7" t="s">
        <v>1</v>
      </c>
      <c r="AC4" s="7">
        <v>4</v>
      </c>
      <c r="AD4" s="9">
        <v>5</v>
      </c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  <c r="BL4" s="34"/>
      <c r="BM4" s="34"/>
      <c r="BN4" s="34"/>
      <c r="BO4" s="34"/>
      <c r="BP4" s="34"/>
      <c r="BQ4" s="34"/>
      <c r="BR4" s="34"/>
      <c r="BS4" s="34"/>
      <c r="BT4" s="34"/>
      <c r="BU4" s="22"/>
      <c r="BV4" s="22"/>
      <c r="BW4" s="22"/>
      <c r="BX4" s="22"/>
      <c r="BY4" s="22"/>
      <c r="BZ4" s="22"/>
      <c r="CA4" s="22"/>
      <c r="CB4" s="35"/>
    </row>
    <row r="5" spans="1:81" x14ac:dyDescent="0.25">
      <c r="A5" s="33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10">
        <v>1</v>
      </c>
      <c r="T5" s="1"/>
      <c r="U5" s="40" t="s">
        <v>9</v>
      </c>
      <c r="V5" s="40"/>
      <c r="W5" s="40"/>
      <c r="X5" s="40"/>
      <c r="Y5" s="1">
        <v>1</v>
      </c>
      <c r="Z5" s="1">
        <v>2</v>
      </c>
      <c r="AA5" s="5" t="s">
        <v>1</v>
      </c>
      <c r="AB5" s="1">
        <v>3</v>
      </c>
      <c r="AC5" s="1">
        <v>4</v>
      </c>
      <c r="AD5" s="11">
        <v>5</v>
      </c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  <c r="BL5" s="34"/>
      <c r="BM5" s="34"/>
      <c r="BN5" s="34"/>
      <c r="BO5" s="34"/>
      <c r="BP5" s="34"/>
      <c r="BQ5" s="34"/>
      <c r="BR5" s="34"/>
      <c r="BS5" s="34"/>
      <c r="BT5" s="34"/>
      <c r="BU5" s="22"/>
      <c r="BV5" s="22"/>
      <c r="BW5" s="22"/>
      <c r="BX5" s="22"/>
      <c r="BY5" s="22"/>
      <c r="BZ5" s="22"/>
      <c r="CA5" s="22"/>
      <c r="CB5" s="35"/>
    </row>
    <row r="6" spans="1:81" x14ac:dyDescent="0.25">
      <c r="A6" s="33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10">
        <v>2</v>
      </c>
      <c r="T6" s="1"/>
      <c r="U6" s="40" t="s">
        <v>185</v>
      </c>
      <c r="V6" s="40"/>
      <c r="W6" s="40"/>
      <c r="X6" s="40"/>
      <c r="Y6" s="1">
        <v>1</v>
      </c>
      <c r="Z6" s="1">
        <v>2</v>
      </c>
      <c r="AA6" s="1">
        <v>3</v>
      </c>
      <c r="AB6" s="5">
        <v>4</v>
      </c>
      <c r="AC6" s="1" t="s">
        <v>1</v>
      </c>
      <c r="AD6" s="11">
        <v>5</v>
      </c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  <c r="BL6" s="34"/>
      <c r="BM6" s="34"/>
      <c r="BN6" s="34"/>
      <c r="BO6" s="34"/>
      <c r="BP6" s="34"/>
      <c r="BQ6" s="34"/>
      <c r="BR6" s="34"/>
      <c r="BS6" s="34"/>
      <c r="BT6" s="34"/>
      <c r="BU6" s="22"/>
      <c r="BV6" s="22"/>
      <c r="BW6" s="22"/>
      <c r="BX6" s="22"/>
      <c r="BY6" s="22"/>
      <c r="BZ6" s="22"/>
      <c r="CA6" s="22"/>
      <c r="CB6" s="35"/>
    </row>
    <row r="7" spans="1:81" x14ac:dyDescent="0.25">
      <c r="A7" s="33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10">
        <v>3</v>
      </c>
      <c r="T7" s="1"/>
      <c r="U7" s="40" t="s">
        <v>11</v>
      </c>
      <c r="V7" s="40"/>
      <c r="W7" s="40"/>
      <c r="X7" s="40"/>
      <c r="Y7" s="1">
        <v>1</v>
      </c>
      <c r="Z7" s="1">
        <v>2</v>
      </c>
      <c r="AA7" s="1">
        <v>3</v>
      </c>
      <c r="AB7" s="1">
        <v>4</v>
      </c>
      <c r="AC7" s="1">
        <v>5</v>
      </c>
      <c r="AD7" s="11">
        <v>6</v>
      </c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  <c r="BL7" s="34"/>
      <c r="BM7" s="34"/>
      <c r="BN7" s="34"/>
      <c r="BO7" s="34"/>
      <c r="BP7" s="34"/>
      <c r="BQ7" s="34"/>
      <c r="BR7" s="34"/>
      <c r="BS7" s="34"/>
      <c r="BT7" s="34"/>
      <c r="BU7" s="22"/>
      <c r="BV7" s="22"/>
      <c r="BW7" s="22"/>
      <c r="BX7" s="22"/>
      <c r="BY7" s="22"/>
      <c r="BZ7" s="22"/>
      <c r="CA7" s="22"/>
      <c r="CB7" s="35"/>
    </row>
    <row r="8" spans="1:81" ht="15.75" thickBot="1" x14ac:dyDescent="0.3">
      <c r="A8" s="33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43">
        <v>4</v>
      </c>
      <c r="T8" s="12"/>
      <c r="U8" s="12"/>
      <c r="V8" s="12"/>
      <c r="W8" s="12"/>
      <c r="X8" s="12"/>
      <c r="Y8" s="210" t="s">
        <v>30</v>
      </c>
      <c r="Z8" s="210"/>
      <c r="AA8" s="210"/>
      <c r="AB8" s="210"/>
      <c r="AC8" s="210"/>
      <c r="AD8" s="211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  <c r="BL8" s="34"/>
      <c r="BM8" s="34"/>
      <c r="BN8" s="34"/>
      <c r="BO8" s="34"/>
      <c r="BP8" s="34"/>
      <c r="BQ8" s="34"/>
      <c r="BR8" s="34"/>
      <c r="BS8" s="34"/>
      <c r="BT8" s="34"/>
      <c r="BU8" s="22"/>
      <c r="BV8" s="22"/>
      <c r="BW8" s="22"/>
      <c r="BX8" s="22"/>
      <c r="BY8" s="22"/>
      <c r="BZ8" s="22"/>
      <c r="CA8" s="22"/>
      <c r="CB8" s="35"/>
    </row>
    <row r="9" spans="1:81" ht="15.75" thickBot="1" x14ac:dyDescent="0.3">
      <c r="A9" s="33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34"/>
      <c r="BB9" s="34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34"/>
      <c r="BT9" s="34"/>
      <c r="BU9" s="22"/>
      <c r="BV9" s="22"/>
      <c r="BW9" s="22"/>
      <c r="BX9" s="22"/>
      <c r="BY9" s="22"/>
      <c r="BZ9" s="22"/>
      <c r="CA9" s="22"/>
      <c r="CB9" s="35"/>
    </row>
    <row r="10" spans="1:81" ht="15.75" thickBot="1" x14ac:dyDescent="0.3">
      <c r="A10" s="33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07" t="s">
        <v>7</v>
      </c>
      <c r="T10" s="208"/>
      <c r="U10" s="208"/>
      <c r="V10" s="208"/>
      <c r="W10" s="208"/>
      <c r="X10" s="209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07" t="s">
        <v>7</v>
      </c>
      <c r="AU10" s="208"/>
      <c r="AV10" s="208"/>
      <c r="AW10" s="208"/>
      <c r="AX10" s="208"/>
      <c r="AY10" s="209"/>
      <c r="AZ10" s="22"/>
      <c r="BA10" s="34"/>
      <c r="BB10" s="34"/>
      <c r="BC10" s="22"/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07" t="s">
        <v>7</v>
      </c>
      <c r="BV10" s="208"/>
      <c r="BW10" s="208"/>
      <c r="BX10" s="208"/>
      <c r="BY10" s="208"/>
      <c r="BZ10" s="209"/>
      <c r="CA10" s="22"/>
      <c r="CB10" s="35"/>
    </row>
    <row r="11" spans="1:81" ht="25.5" thickBot="1" x14ac:dyDescent="0.3">
      <c r="A11" s="207" t="s">
        <v>5</v>
      </c>
      <c r="B11" s="208"/>
      <c r="C11" s="208"/>
      <c r="D11" s="208"/>
      <c r="E11" s="208"/>
      <c r="F11" s="208"/>
      <c r="G11" s="208"/>
      <c r="H11" s="208"/>
      <c r="I11" s="208"/>
      <c r="J11" s="208"/>
      <c r="K11" s="208"/>
      <c r="L11" s="208"/>
      <c r="M11" s="208"/>
      <c r="N11" s="208"/>
      <c r="O11" s="208"/>
      <c r="P11" s="209"/>
      <c r="Q11" s="36"/>
      <c r="R11" s="36"/>
      <c r="S11" s="207" t="s">
        <v>6</v>
      </c>
      <c r="T11" s="208"/>
      <c r="U11" s="208"/>
      <c r="V11" s="208"/>
      <c r="W11" s="208"/>
      <c r="X11" s="209"/>
      <c r="Y11" s="23" t="s">
        <v>4</v>
      </c>
      <c r="Z11" s="36"/>
      <c r="AA11" s="36"/>
      <c r="AB11" s="207" t="s">
        <v>5</v>
      </c>
      <c r="AC11" s="208"/>
      <c r="AD11" s="208"/>
      <c r="AE11" s="208"/>
      <c r="AF11" s="208"/>
      <c r="AG11" s="208"/>
      <c r="AH11" s="208"/>
      <c r="AI11" s="208"/>
      <c r="AJ11" s="208"/>
      <c r="AK11" s="208"/>
      <c r="AL11" s="208"/>
      <c r="AM11" s="208"/>
      <c r="AN11" s="208"/>
      <c r="AO11" s="208"/>
      <c r="AP11" s="208"/>
      <c r="AQ11" s="209"/>
      <c r="AR11" s="36"/>
      <c r="AS11" s="36"/>
      <c r="AT11" s="207" t="s">
        <v>6</v>
      </c>
      <c r="AU11" s="208"/>
      <c r="AV11" s="208"/>
      <c r="AW11" s="208"/>
      <c r="AX11" s="208"/>
      <c r="AY11" s="209"/>
      <c r="AZ11" s="23" t="s">
        <v>4</v>
      </c>
      <c r="BA11" s="37"/>
      <c r="BB11" s="37"/>
      <c r="BC11" s="207" t="s">
        <v>5</v>
      </c>
      <c r="BD11" s="208"/>
      <c r="BE11" s="208"/>
      <c r="BF11" s="208"/>
      <c r="BG11" s="208"/>
      <c r="BH11" s="208"/>
      <c r="BI11" s="208"/>
      <c r="BJ11" s="208"/>
      <c r="BK11" s="208"/>
      <c r="BL11" s="208"/>
      <c r="BM11" s="208"/>
      <c r="BN11" s="208"/>
      <c r="BO11" s="208"/>
      <c r="BP11" s="208"/>
      <c r="BQ11" s="208"/>
      <c r="BR11" s="209"/>
      <c r="BS11" s="36"/>
      <c r="BT11" s="36"/>
      <c r="BU11" s="207" t="s">
        <v>6</v>
      </c>
      <c r="BV11" s="208"/>
      <c r="BW11" s="208"/>
      <c r="BX11" s="208"/>
      <c r="BY11" s="208"/>
      <c r="BZ11" s="209"/>
      <c r="CA11" s="23" t="s">
        <v>4</v>
      </c>
      <c r="CB11" s="38"/>
    </row>
  </sheetData>
  <mergeCells count="13">
    <mergeCell ref="A11:P11"/>
    <mergeCell ref="S11:X11"/>
    <mergeCell ref="S10:X10"/>
    <mergeCell ref="Y8:AD8"/>
    <mergeCell ref="BC11:BR11"/>
    <mergeCell ref="AT2:AY2"/>
    <mergeCell ref="S2:X2"/>
    <mergeCell ref="BU2:BZ2"/>
    <mergeCell ref="AT10:AY10"/>
    <mergeCell ref="AB11:AQ11"/>
    <mergeCell ref="AT11:AY11"/>
    <mergeCell ref="BU10:BZ10"/>
    <mergeCell ref="BU11:BZ1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BB5DE-E40D-4A70-8DD3-0789D018F716}">
  <sheetPr codeName="Sheet9"/>
  <dimension ref="A1:Y31"/>
  <sheetViews>
    <sheetView topLeftCell="E1" workbookViewId="0">
      <selection activeCell="A31" sqref="A31"/>
    </sheetView>
  </sheetViews>
  <sheetFormatPr defaultRowHeight="15" x14ac:dyDescent="0.25"/>
  <cols>
    <col min="1" max="1" width="8.42578125" bestFit="1" customWidth="1"/>
    <col min="2" max="2" width="11" bestFit="1" customWidth="1"/>
    <col min="3" max="3" width="12.140625" bestFit="1" customWidth="1"/>
    <col min="4" max="4" width="11.140625" bestFit="1" customWidth="1"/>
    <col min="5" max="5" width="11" bestFit="1" customWidth="1"/>
    <col min="6" max="6" width="12.140625" bestFit="1" customWidth="1"/>
    <col min="7" max="7" width="11.140625" bestFit="1" customWidth="1"/>
    <col min="8" max="8" width="11" bestFit="1" customWidth="1"/>
    <col min="9" max="9" width="12.140625" bestFit="1" customWidth="1"/>
    <col min="10" max="10" width="11.140625" bestFit="1" customWidth="1"/>
    <col min="11" max="11" width="11" bestFit="1" customWidth="1"/>
    <col min="12" max="12" width="12.140625" bestFit="1" customWidth="1"/>
    <col min="13" max="13" width="11.140625" bestFit="1" customWidth="1"/>
    <col min="14" max="14" width="11" bestFit="1" customWidth="1"/>
    <col min="15" max="15" width="12.140625" bestFit="1" customWidth="1"/>
    <col min="16" max="16" width="11.140625" bestFit="1" customWidth="1"/>
    <col min="17" max="17" width="11" bestFit="1" customWidth="1"/>
    <col min="18" max="18" width="12.140625" bestFit="1" customWidth="1"/>
    <col min="19" max="19" width="11.140625" bestFit="1" customWidth="1"/>
    <col min="20" max="20" width="11" bestFit="1" customWidth="1"/>
    <col min="21" max="21" width="12.140625" bestFit="1" customWidth="1"/>
    <col min="22" max="22" width="11.140625" bestFit="1" customWidth="1"/>
    <col min="23" max="23" width="11" bestFit="1" customWidth="1"/>
    <col min="24" max="24" width="12.140625" bestFit="1" customWidth="1"/>
    <col min="25" max="25" width="1" bestFit="1" customWidth="1"/>
  </cols>
  <sheetData>
    <row r="1" spans="1:25" x14ac:dyDescent="0.25">
      <c r="A1" t="s">
        <v>622</v>
      </c>
      <c r="B1" t="s">
        <v>623</v>
      </c>
      <c r="C1" t="s">
        <v>624</v>
      </c>
      <c r="D1" t="s">
        <v>625</v>
      </c>
      <c r="E1" t="s">
        <v>626</v>
      </c>
      <c r="F1" t="s">
        <v>627</v>
      </c>
      <c r="G1" t="s">
        <v>628</v>
      </c>
      <c r="H1" t="s">
        <v>629</v>
      </c>
      <c r="I1" t="s">
        <v>630</v>
      </c>
      <c r="J1" t="s">
        <v>631</v>
      </c>
      <c r="K1" t="s">
        <v>632</v>
      </c>
      <c r="L1" t="s">
        <v>633</v>
      </c>
      <c r="M1" t="s">
        <v>634</v>
      </c>
      <c r="N1" t="s">
        <v>635</v>
      </c>
      <c r="O1" t="s">
        <v>636</v>
      </c>
      <c r="P1" t="s">
        <v>637</v>
      </c>
      <c r="Q1" t="s">
        <v>638</v>
      </c>
      <c r="R1" t="s">
        <v>639</v>
      </c>
      <c r="S1" t="s">
        <v>640</v>
      </c>
      <c r="T1" t="s">
        <v>641</v>
      </c>
      <c r="U1" t="s">
        <v>642</v>
      </c>
      <c r="V1" t="s">
        <v>643</v>
      </c>
      <c r="W1" t="s">
        <v>644</v>
      </c>
      <c r="X1" t="s">
        <v>645</v>
      </c>
      <c r="Y1" s="45" t="s">
        <v>621</v>
      </c>
    </row>
    <row r="2" spans="1:25" x14ac:dyDescent="0.25">
      <c r="A2" t="s">
        <v>597</v>
      </c>
      <c r="B2" t="s">
        <v>598</v>
      </c>
      <c r="C2" t="s">
        <v>599</v>
      </c>
      <c r="D2" t="s">
        <v>600</v>
      </c>
      <c r="E2" t="s">
        <v>601</v>
      </c>
      <c r="F2" t="s">
        <v>602</v>
      </c>
      <c r="G2" t="s">
        <v>603</v>
      </c>
      <c r="H2" t="s">
        <v>604</v>
      </c>
      <c r="I2" t="s">
        <v>605</v>
      </c>
      <c r="J2" t="s">
        <v>606</v>
      </c>
      <c r="K2" t="s">
        <v>607</v>
      </c>
      <c r="L2" t="s">
        <v>608</v>
      </c>
      <c r="M2" t="s">
        <v>609</v>
      </c>
      <c r="N2" t="s">
        <v>610</v>
      </c>
      <c r="O2" t="s">
        <v>611</v>
      </c>
      <c r="P2" t="s">
        <v>612</v>
      </c>
      <c r="Q2" t="s">
        <v>613</v>
      </c>
      <c r="R2" t="s">
        <v>614</v>
      </c>
      <c r="S2" t="s">
        <v>615</v>
      </c>
      <c r="T2" t="s">
        <v>616</v>
      </c>
      <c r="U2" t="s">
        <v>617</v>
      </c>
      <c r="V2" t="s">
        <v>618</v>
      </c>
      <c r="W2" t="s">
        <v>619</v>
      </c>
      <c r="X2" t="s">
        <v>620</v>
      </c>
      <c r="Y2" s="45" t="s">
        <v>621</v>
      </c>
    </row>
    <row r="3" spans="1:25" x14ac:dyDescent="0.25">
      <c r="A3" t="s">
        <v>573</v>
      </c>
      <c r="B3" t="s">
        <v>574</v>
      </c>
      <c r="C3" t="s">
        <v>575</v>
      </c>
      <c r="D3" t="s">
        <v>576</v>
      </c>
      <c r="E3" t="s">
        <v>577</v>
      </c>
      <c r="F3" t="s">
        <v>578</v>
      </c>
      <c r="G3" t="s">
        <v>579</v>
      </c>
      <c r="H3" t="s">
        <v>580</v>
      </c>
      <c r="I3" t="s">
        <v>581</v>
      </c>
      <c r="J3" t="s">
        <v>582</v>
      </c>
      <c r="K3" t="s">
        <v>583</v>
      </c>
      <c r="L3" t="s">
        <v>584</v>
      </c>
      <c r="M3" t="s">
        <v>585</v>
      </c>
      <c r="N3" t="s">
        <v>586</v>
      </c>
      <c r="O3" t="s">
        <v>587</v>
      </c>
      <c r="P3" t="s">
        <v>588</v>
      </c>
      <c r="Q3" t="s">
        <v>589</v>
      </c>
      <c r="R3" t="s">
        <v>590</v>
      </c>
      <c r="S3" t="s">
        <v>591</v>
      </c>
      <c r="T3" t="s">
        <v>592</v>
      </c>
      <c r="U3" t="s">
        <v>593</v>
      </c>
      <c r="V3" t="s">
        <v>594</v>
      </c>
      <c r="W3" t="s">
        <v>595</v>
      </c>
      <c r="X3" t="s">
        <v>596</v>
      </c>
    </row>
    <row r="4" spans="1:25" x14ac:dyDescent="0.25">
      <c r="A4">
        <v>1</v>
      </c>
      <c r="B4">
        <v>2</v>
      </c>
      <c r="C4">
        <v>3</v>
      </c>
      <c r="D4">
        <v>4</v>
      </c>
      <c r="E4">
        <v>5</v>
      </c>
      <c r="F4">
        <v>6</v>
      </c>
      <c r="G4">
        <v>7</v>
      </c>
      <c r="H4">
        <v>8</v>
      </c>
      <c r="I4">
        <v>9</v>
      </c>
      <c r="J4">
        <v>10</v>
      </c>
      <c r="K4">
        <v>11</v>
      </c>
      <c r="L4">
        <v>12</v>
      </c>
      <c r="M4">
        <v>13</v>
      </c>
      <c r="N4">
        <v>14</v>
      </c>
      <c r="O4">
        <v>15</v>
      </c>
      <c r="P4">
        <v>16</v>
      </c>
      <c r="Q4">
        <v>17</v>
      </c>
      <c r="R4">
        <v>18</v>
      </c>
      <c r="S4">
        <v>19</v>
      </c>
      <c r="T4">
        <v>20</v>
      </c>
      <c r="U4">
        <v>21</v>
      </c>
      <c r="V4">
        <v>22</v>
      </c>
      <c r="W4">
        <v>23</v>
      </c>
      <c r="X4">
        <v>24</v>
      </c>
    </row>
    <row r="7" spans="1:25" x14ac:dyDescent="0.25">
      <c r="A7" s="152" t="s">
        <v>622</v>
      </c>
      <c r="B7" t="s">
        <v>623</v>
      </c>
      <c r="C7" t="s">
        <v>624</v>
      </c>
      <c r="D7" t="s">
        <v>625</v>
      </c>
      <c r="E7" t="s">
        <v>626</v>
      </c>
      <c r="F7" t="s">
        <v>627</v>
      </c>
      <c r="G7" t="s">
        <v>628</v>
      </c>
      <c r="H7" t="s">
        <v>629</v>
      </c>
      <c r="I7" t="s">
        <v>630</v>
      </c>
      <c r="J7" t="s">
        <v>631</v>
      </c>
      <c r="K7" t="s">
        <v>632</v>
      </c>
      <c r="L7" t="s">
        <v>633</v>
      </c>
      <c r="M7" t="s">
        <v>634</v>
      </c>
      <c r="N7" t="s">
        <v>635</v>
      </c>
      <c r="O7" t="s">
        <v>636</v>
      </c>
      <c r="P7" t="s">
        <v>637</v>
      </c>
      <c r="Q7" t="s">
        <v>638</v>
      </c>
      <c r="R7" t="s">
        <v>639</v>
      </c>
      <c r="S7" t="s">
        <v>640</v>
      </c>
      <c r="T7" t="s">
        <v>641</v>
      </c>
      <c r="U7" t="s">
        <v>642</v>
      </c>
      <c r="V7" t="s">
        <v>643</v>
      </c>
      <c r="W7" t="s">
        <v>644</v>
      </c>
      <c r="X7" t="s">
        <v>645</v>
      </c>
    </row>
    <row r="8" spans="1:25" x14ac:dyDescent="0.25">
      <c r="A8" s="152" t="s">
        <v>597</v>
      </c>
      <c r="B8" t="s">
        <v>598</v>
      </c>
      <c r="C8" t="s">
        <v>599</v>
      </c>
      <c r="D8" t="s">
        <v>600</v>
      </c>
      <c r="E8" t="s">
        <v>601</v>
      </c>
      <c r="F8" t="s">
        <v>646</v>
      </c>
      <c r="G8" t="s">
        <v>603</v>
      </c>
      <c r="H8" t="s">
        <v>604</v>
      </c>
      <c r="I8" t="s">
        <v>605</v>
      </c>
      <c r="J8" t="s">
        <v>606</v>
      </c>
      <c r="K8" t="s">
        <v>607</v>
      </c>
      <c r="L8" t="s">
        <v>608</v>
      </c>
      <c r="M8" t="s">
        <v>609</v>
      </c>
      <c r="N8" t="s">
        <v>610</v>
      </c>
      <c r="O8" t="s">
        <v>611</v>
      </c>
      <c r="P8" t="s">
        <v>612</v>
      </c>
      <c r="Q8" t="s">
        <v>613</v>
      </c>
      <c r="R8" t="s">
        <v>614</v>
      </c>
      <c r="S8" t="s">
        <v>615</v>
      </c>
      <c r="T8" t="s">
        <v>616</v>
      </c>
      <c r="U8" t="s">
        <v>617</v>
      </c>
      <c r="V8" t="s">
        <v>618</v>
      </c>
      <c r="W8" t="s">
        <v>619</v>
      </c>
      <c r="X8" t="s">
        <v>620</v>
      </c>
    </row>
    <row r="9" spans="1:25" x14ac:dyDescent="0.25">
      <c r="A9" s="152" t="s">
        <v>573</v>
      </c>
      <c r="B9" t="s">
        <v>574</v>
      </c>
      <c r="C9" t="s">
        <v>575</v>
      </c>
      <c r="D9" t="s">
        <v>576</v>
      </c>
      <c r="E9" t="s">
        <v>577</v>
      </c>
      <c r="F9" t="s">
        <v>578</v>
      </c>
      <c r="G9" t="s">
        <v>579</v>
      </c>
      <c r="H9" t="s">
        <v>580</v>
      </c>
      <c r="I9" t="s">
        <v>581</v>
      </c>
      <c r="J9" t="s">
        <v>582</v>
      </c>
      <c r="K9" t="s">
        <v>583</v>
      </c>
      <c r="L9" t="s">
        <v>584</v>
      </c>
      <c r="M9" t="s">
        <v>585</v>
      </c>
      <c r="N9" t="s">
        <v>586</v>
      </c>
      <c r="O9" t="s">
        <v>587</v>
      </c>
      <c r="P9" t="s">
        <v>588</v>
      </c>
      <c r="Q9" t="s">
        <v>589</v>
      </c>
      <c r="R9" t="s">
        <v>590</v>
      </c>
      <c r="S9" t="s">
        <v>591</v>
      </c>
      <c r="T9" t="s">
        <v>592</v>
      </c>
      <c r="U9" t="s">
        <v>593</v>
      </c>
      <c r="V9" t="s">
        <v>594</v>
      </c>
      <c r="W9" t="s">
        <v>595</v>
      </c>
      <c r="X9" t="s">
        <v>596</v>
      </c>
    </row>
    <row r="12" spans="1:25" x14ac:dyDescent="0.25">
      <c r="A12" s="152" t="s">
        <v>647</v>
      </c>
      <c r="B12" t="s">
        <v>648</v>
      </c>
      <c r="C12" t="s">
        <v>649</v>
      </c>
      <c r="D12" t="s">
        <v>650</v>
      </c>
      <c r="E12" t="s">
        <v>651</v>
      </c>
      <c r="F12" t="s">
        <v>652</v>
      </c>
      <c r="G12" t="s">
        <v>653</v>
      </c>
      <c r="H12" t="s">
        <v>654</v>
      </c>
      <c r="I12" t="s">
        <v>655</v>
      </c>
      <c r="J12" t="s">
        <v>656</v>
      </c>
      <c r="K12" t="s">
        <v>657</v>
      </c>
      <c r="L12" t="s">
        <v>658</v>
      </c>
      <c r="M12" t="s">
        <v>659</v>
      </c>
      <c r="N12" t="s">
        <v>660</v>
      </c>
      <c r="O12" t="s">
        <v>661</v>
      </c>
      <c r="P12" t="s">
        <v>662</v>
      </c>
      <c r="Q12" t="s">
        <v>663</v>
      </c>
      <c r="R12" t="s">
        <v>664</v>
      </c>
      <c r="S12" t="s">
        <v>665</v>
      </c>
      <c r="T12" t="s">
        <v>666</v>
      </c>
      <c r="U12" t="s">
        <v>667</v>
      </c>
      <c r="V12" t="s">
        <v>668</v>
      </c>
      <c r="W12" t="s">
        <v>669</v>
      </c>
      <c r="X12" t="s">
        <v>670</v>
      </c>
    </row>
    <row r="16" spans="1:25" x14ac:dyDescent="0.25">
      <c r="A16" s="153" t="s">
        <v>622</v>
      </c>
      <c r="B16" t="s">
        <v>623</v>
      </c>
      <c r="C16" t="s">
        <v>624</v>
      </c>
      <c r="D16" t="s">
        <v>625</v>
      </c>
      <c r="E16" t="s">
        <v>626</v>
      </c>
      <c r="F16" t="s">
        <v>627</v>
      </c>
      <c r="G16" t="s">
        <v>628</v>
      </c>
      <c r="H16" t="s">
        <v>629</v>
      </c>
      <c r="I16" t="s">
        <v>630</v>
      </c>
      <c r="J16" t="s">
        <v>631</v>
      </c>
      <c r="K16" t="s">
        <v>632</v>
      </c>
      <c r="L16" t="s">
        <v>633</v>
      </c>
      <c r="M16" t="s">
        <v>634</v>
      </c>
      <c r="N16" t="s">
        <v>635</v>
      </c>
      <c r="O16" t="s">
        <v>636</v>
      </c>
      <c r="P16" t="s">
        <v>637</v>
      </c>
      <c r="Q16" t="s">
        <v>638</v>
      </c>
      <c r="R16" t="s">
        <v>639</v>
      </c>
      <c r="S16" t="s">
        <v>640</v>
      </c>
      <c r="T16" t="s">
        <v>641</v>
      </c>
      <c r="U16" t="s">
        <v>642</v>
      </c>
      <c r="V16" t="s">
        <v>643</v>
      </c>
      <c r="W16" t="s">
        <v>644</v>
      </c>
      <c r="X16" t="s">
        <v>645</v>
      </c>
    </row>
    <row r="17" spans="1:25" x14ac:dyDescent="0.25">
      <c r="A17" s="152" t="s">
        <v>597</v>
      </c>
      <c r="B17" t="s">
        <v>598</v>
      </c>
      <c r="C17" t="s">
        <v>599</v>
      </c>
      <c r="D17" t="s">
        <v>600</v>
      </c>
      <c r="E17" t="s">
        <v>601</v>
      </c>
      <c r="F17" t="s">
        <v>671</v>
      </c>
      <c r="G17" t="s">
        <v>603</v>
      </c>
      <c r="H17" t="s">
        <v>604</v>
      </c>
      <c r="I17" t="s">
        <v>605</v>
      </c>
      <c r="J17" t="s">
        <v>606</v>
      </c>
      <c r="K17" t="s">
        <v>607</v>
      </c>
      <c r="L17" t="s">
        <v>608</v>
      </c>
      <c r="M17" t="s">
        <v>609</v>
      </c>
      <c r="N17" t="s">
        <v>610</v>
      </c>
      <c r="O17" t="s">
        <v>611</v>
      </c>
      <c r="P17" t="s">
        <v>612</v>
      </c>
      <c r="Q17" t="s">
        <v>613</v>
      </c>
      <c r="R17" t="s">
        <v>614</v>
      </c>
      <c r="S17" t="s">
        <v>615</v>
      </c>
      <c r="T17" t="s">
        <v>616</v>
      </c>
      <c r="U17" t="s">
        <v>617</v>
      </c>
      <c r="V17" t="s">
        <v>618</v>
      </c>
      <c r="W17" t="s">
        <v>619</v>
      </c>
      <c r="X17" t="s">
        <v>620</v>
      </c>
    </row>
    <row r="18" spans="1:25" x14ac:dyDescent="0.25">
      <c r="A18" s="152" t="s">
        <v>573</v>
      </c>
      <c r="B18" t="s">
        <v>574</v>
      </c>
      <c r="C18" t="s">
        <v>575</v>
      </c>
      <c r="D18" t="s">
        <v>576</v>
      </c>
      <c r="E18" t="s">
        <v>577</v>
      </c>
      <c r="F18" t="s">
        <v>578</v>
      </c>
      <c r="G18" t="s">
        <v>579</v>
      </c>
      <c r="H18" t="s">
        <v>580</v>
      </c>
      <c r="I18" t="s">
        <v>581</v>
      </c>
      <c r="J18" t="s">
        <v>582</v>
      </c>
      <c r="K18" t="s">
        <v>583</v>
      </c>
      <c r="L18" t="s">
        <v>584</v>
      </c>
      <c r="M18" t="s">
        <v>585</v>
      </c>
      <c r="N18" t="s">
        <v>586</v>
      </c>
      <c r="O18" t="s">
        <v>587</v>
      </c>
      <c r="P18" t="s">
        <v>588</v>
      </c>
      <c r="Q18" t="s">
        <v>589</v>
      </c>
      <c r="R18" t="s">
        <v>590</v>
      </c>
      <c r="S18" t="s">
        <v>591</v>
      </c>
      <c r="T18" t="s">
        <v>592</v>
      </c>
      <c r="U18" t="s">
        <v>593</v>
      </c>
      <c r="V18" t="s">
        <v>594</v>
      </c>
      <c r="W18" t="s">
        <v>595</v>
      </c>
      <c r="X18" t="s">
        <v>596</v>
      </c>
    </row>
    <row r="24" spans="1:25" x14ac:dyDescent="0.25">
      <c r="A24" s="152" t="s">
        <v>622</v>
      </c>
      <c r="B24" t="s">
        <v>623</v>
      </c>
      <c r="C24" t="s">
        <v>624</v>
      </c>
      <c r="D24" t="s">
        <v>625</v>
      </c>
      <c r="E24" t="s">
        <v>626</v>
      </c>
      <c r="F24" t="s">
        <v>627</v>
      </c>
      <c r="G24" t="s">
        <v>628</v>
      </c>
      <c r="H24" t="s">
        <v>629</v>
      </c>
      <c r="I24" t="s">
        <v>630</v>
      </c>
      <c r="J24" t="s">
        <v>631</v>
      </c>
      <c r="K24" t="s">
        <v>632</v>
      </c>
      <c r="L24" t="s">
        <v>633</v>
      </c>
      <c r="M24" t="s">
        <v>634</v>
      </c>
      <c r="N24" t="s">
        <v>635</v>
      </c>
      <c r="O24" t="s">
        <v>636</v>
      </c>
      <c r="P24" t="s">
        <v>637</v>
      </c>
      <c r="Q24" t="s">
        <v>638</v>
      </c>
      <c r="R24" t="s">
        <v>639</v>
      </c>
      <c r="S24" t="s">
        <v>640</v>
      </c>
      <c r="T24" t="s">
        <v>641</v>
      </c>
      <c r="U24" t="s">
        <v>642</v>
      </c>
      <c r="V24" t="s">
        <v>643</v>
      </c>
      <c r="W24" t="s">
        <v>644</v>
      </c>
      <c r="X24" t="s">
        <v>645</v>
      </c>
    </row>
    <row r="25" spans="1:25" x14ac:dyDescent="0.25">
      <c r="A25" s="152" t="s">
        <v>597</v>
      </c>
      <c r="B25" t="s">
        <v>598</v>
      </c>
      <c r="C25" t="s">
        <v>599</v>
      </c>
      <c r="D25" t="s">
        <v>600</v>
      </c>
      <c r="E25" t="s">
        <v>601</v>
      </c>
      <c r="F25" t="s">
        <v>646</v>
      </c>
      <c r="G25" t="s">
        <v>603</v>
      </c>
      <c r="H25" t="s">
        <v>604</v>
      </c>
      <c r="I25" t="s">
        <v>605</v>
      </c>
      <c r="J25" t="s">
        <v>606</v>
      </c>
      <c r="K25" t="s">
        <v>607</v>
      </c>
      <c r="L25" t="s">
        <v>608</v>
      </c>
      <c r="M25" t="s">
        <v>609</v>
      </c>
      <c r="N25" t="s">
        <v>610</v>
      </c>
      <c r="O25" t="s">
        <v>611</v>
      </c>
      <c r="P25" t="s">
        <v>612</v>
      </c>
      <c r="Q25" t="s">
        <v>613</v>
      </c>
      <c r="R25" t="s">
        <v>614</v>
      </c>
      <c r="S25" t="s">
        <v>615</v>
      </c>
      <c r="T25" t="s">
        <v>616</v>
      </c>
      <c r="U25" t="s">
        <v>617</v>
      </c>
      <c r="V25" t="s">
        <v>618</v>
      </c>
      <c r="W25" t="s">
        <v>619</v>
      </c>
      <c r="X25" t="s">
        <v>620</v>
      </c>
    </row>
    <row r="26" spans="1:25" x14ac:dyDescent="0.25">
      <c r="A26" s="152" t="s">
        <v>573</v>
      </c>
      <c r="B26" t="s">
        <v>574</v>
      </c>
      <c r="C26" t="s">
        <v>575</v>
      </c>
      <c r="D26" t="s">
        <v>576</v>
      </c>
      <c r="E26" t="s">
        <v>577</v>
      </c>
      <c r="F26" t="s">
        <v>578</v>
      </c>
      <c r="G26" t="s">
        <v>579</v>
      </c>
      <c r="H26" t="s">
        <v>580</v>
      </c>
      <c r="I26" t="s">
        <v>581</v>
      </c>
      <c r="J26" t="s">
        <v>582</v>
      </c>
      <c r="K26" t="s">
        <v>583</v>
      </c>
      <c r="L26" t="s">
        <v>584</v>
      </c>
      <c r="M26" t="s">
        <v>585</v>
      </c>
      <c r="N26" t="s">
        <v>586</v>
      </c>
      <c r="O26" t="s">
        <v>587</v>
      </c>
      <c r="P26" t="s">
        <v>588</v>
      </c>
      <c r="Q26" t="s">
        <v>589</v>
      </c>
      <c r="R26" t="s">
        <v>590</v>
      </c>
      <c r="S26" t="s">
        <v>591</v>
      </c>
      <c r="T26" t="s">
        <v>592</v>
      </c>
      <c r="U26" t="s">
        <v>593</v>
      </c>
      <c r="V26" t="s">
        <v>594</v>
      </c>
      <c r="W26" t="s">
        <v>595</v>
      </c>
      <c r="X26" t="s">
        <v>596</v>
      </c>
    </row>
    <row r="27" spans="1:25" x14ac:dyDescent="0.25">
      <c r="A27" s="152" t="s">
        <v>672</v>
      </c>
      <c r="B27" t="s">
        <v>673</v>
      </c>
      <c r="C27" t="s">
        <v>674</v>
      </c>
      <c r="D27" t="s">
        <v>675</v>
      </c>
      <c r="E27" t="s">
        <v>676</v>
      </c>
      <c r="F27" t="s">
        <v>677</v>
      </c>
      <c r="G27" t="s">
        <v>678</v>
      </c>
      <c r="H27" t="s">
        <v>679</v>
      </c>
      <c r="I27" t="s">
        <v>680</v>
      </c>
      <c r="J27" t="s">
        <v>681</v>
      </c>
      <c r="K27" t="s">
        <v>682</v>
      </c>
      <c r="L27" t="s">
        <v>683</v>
      </c>
      <c r="M27" t="s">
        <v>684</v>
      </c>
      <c r="N27" t="s">
        <v>685</v>
      </c>
      <c r="O27" t="s">
        <v>686</v>
      </c>
      <c r="P27" t="s">
        <v>687</v>
      </c>
      <c r="Q27" t="s">
        <v>688</v>
      </c>
      <c r="R27" t="s">
        <v>689</v>
      </c>
      <c r="S27" t="s">
        <v>690</v>
      </c>
      <c r="T27" t="s">
        <v>691</v>
      </c>
      <c r="U27" t="s">
        <v>692</v>
      </c>
      <c r="V27" t="s">
        <v>693</v>
      </c>
      <c r="W27" t="s">
        <v>694</v>
      </c>
      <c r="X27" t="s">
        <v>695</v>
      </c>
    </row>
    <row r="28" spans="1:25" x14ac:dyDescent="0.25">
      <c r="A28" s="152" t="s">
        <v>696</v>
      </c>
      <c r="B28" t="s">
        <v>697</v>
      </c>
      <c r="C28" t="s">
        <v>698</v>
      </c>
      <c r="D28" t="s">
        <v>699</v>
      </c>
      <c r="E28" t="s">
        <v>700</v>
      </c>
      <c r="F28" t="s">
        <v>701</v>
      </c>
      <c r="G28" t="s">
        <v>702</v>
      </c>
      <c r="H28" t="s">
        <v>703</v>
      </c>
      <c r="I28" t="s">
        <v>704</v>
      </c>
      <c r="J28" t="s">
        <v>705</v>
      </c>
      <c r="K28" t="s">
        <v>706</v>
      </c>
      <c r="L28" t="s">
        <v>707</v>
      </c>
      <c r="M28" t="s">
        <v>708</v>
      </c>
      <c r="N28" t="s">
        <v>709</v>
      </c>
      <c r="O28" t="s">
        <v>710</v>
      </c>
      <c r="P28" t="s">
        <v>711</v>
      </c>
      <c r="Q28" t="s">
        <v>712</v>
      </c>
      <c r="R28" t="s">
        <v>713</v>
      </c>
      <c r="S28" t="s">
        <v>714</v>
      </c>
      <c r="T28" t="s">
        <v>715</v>
      </c>
      <c r="U28" t="s">
        <v>716</v>
      </c>
      <c r="V28" t="s">
        <v>717</v>
      </c>
      <c r="W28" t="s">
        <v>718</v>
      </c>
      <c r="X28" t="s">
        <v>719</v>
      </c>
    </row>
    <row r="29" spans="1:25" x14ac:dyDescent="0.25">
      <c r="A29" s="152" t="s">
        <v>720</v>
      </c>
      <c r="B29" t="s">
        <v>721</v>
      </c>
      <c r="C29" t="s">
        <v>722</v>
      </c>
      <c r="D29" t="s">
        <v>723</v>
      </c>
      <c r="E29" t="s">
        <v>724</v>
      </c>
      <c r="F29" t="s">
        <v>725</v>
      </c>
      <c r="G29" t="s">
        <v>726</v>
      </c>
      <c r="H29" t="s">
        <v>727</v>
      </c>
      <c r="I29" t="s">
        <v>728</v>
      </c>
      <c r="J29" t="s">
        <v>729</v>
      </c>
      <c r="K29" t="s">
        <v>730</v>
      </c>
      <c r="L29" t="s">
        <v>731</v>
      </c>
      <c r="M29" t="s">
        <v>732</v>
      </c>
      <c r="N29" t="s">
        <v>733</v>
      </c>
      <c r="O29" t="s">
        <v>734</v>
      </c>
      <c r="P29" t="s">
        <v>735</v>
      </c>
      <c r="Q29" t="s">
        <v>736</v>
      </c>
      <c r="R29" t="s">
        <v>737</v>
      </c>
      <c r="S29" t="s">
        <v>738</v>
      </c>
      <c r="T29" t="s">
        <v>739</v>
      </c>
      <c r="U29" t="s">
        <v>740</v>
      </c>
      <c r="V29" t="s">
        <v>741</v>
      </c>
      <c r="W29" t="s">
        <v>742</v>
      </c>
      <c r="X29" t="s">
        <v>743</v>
      </c>
      <c r="Y29" t="s">
        <v>744</v>
      </c>
    </row>
    <row r="31" spans="1:25" x14ac:dyDescent="0.25">
      <c r="A31" s="152" t="s">
        <v>647</v>
      </c>
      <c r="B31" t="s">
        <v>648</v>
      </c>
      <c r="C31" t="s">
        <v>649</v>
      </c>
      <c r="D31" t="s">
        <v>650</v>
      </c>
      <c r="E31" t="s">
        <v>651</v>
      </c>
      <c r="F31" t="s">
        <v>745</v>
      </c>
      <c r="G31" t="s">
        <v>653</v>
      </c>
      <c r="H31" t="s">
        <v>654</v>
      </c>
      <c r="I31" t="s">
        <v>655</v>
      </c>
      <c r="J31" t="s">
        <v>656</v>
      </c>
      <c r="K31" t="s">
        <v>657</v>
      </c>
      <c r="L31" t="s">
        <v>658</v>
      </c>
      <c r="M31" t="s">
        <v>659</v>
      </c>
      <c r="N31" t="s">
        <v>660</v>
      </c>
      <c r="O31" t="s">
        <v>661</v>
      </c>
      <c r="P31" t="s">
        <v>662</v>
      </c>
      <c r="Q31" t="s">
        <v>663</v>
      </c>
      <c r="R31" t="s">
        <v>664</v>
      </c>
      <c r="S31" t="s">
        <v>665</v>
      </c>
      <c r="T31" t="s">
        <v>666</v>
      </c>
      <c r="U31" t="s">
        <v>667</v>
      </c>
      <c r="V31" t="s">
        <v>668</v>
      </c>
      <c r="W31" t="s">
        <v>669</v>
      </c>
      <c r="X31" t="s">
        <v>670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Scr1</vt:lpstr>
      <vt:lpstr>Scr2</vt:lpstr>
      <vt:lpstr>Scr3-49Rows</vt:lpstr>
      <vt:lpstr>Summary Cut&amp;Paste</vt:lpstr>
      <vt:lpstr>unused</vt:lpstr>
      <vt:lpstr>Screen Data Mapping</vt:lpstr>
      <vt:lpstr>POL Structs</vt:lpstr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Ciena</cp:lastModifiedBy>
  <dcterms:created xsi:type="dcterms:W3CDTF">2015-07-25T12:26:50Z</dcterms:created>
  <dcterms:modified xsi:type="dcterms:W3CDTF">2017-09-18T15:28:24Z</dcterms:modified>
</cp:coreProperties>
</file>