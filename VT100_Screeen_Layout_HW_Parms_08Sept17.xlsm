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4140" windowWidth="22920" windowHeight="4176" tabRatio="386" firstSheet="2" activeTab="4"/>
  </bookViews>
  <sheets>
    <sheet name="Summary Cut&amp;Paste" sheetId="3" r:id="rId1"/>
    <sheet name="Sheet1" sheetId="8" r:id="rId2"/>
    <sheet name="Scr1" sheetId="1" r:id="rId3"/>
    <sheet name="Scr2" sheetId="2" r:id="rId4"/>
    <sheet name="Scr3-49Rows" sheetId="7" r:id="rId5"/>
    <sheet name="unused" sheetId="6" r:id="rId6"/>
    <sheet name="Screen Data Mapping" sheetId="4" r:id="rId7"/>
    <sheet name="POL Structs" sheetId="5" r:id="rId8"/>
  </sheets>
  <definedNames>
    <definedName name="apple">'Scr2'!#REF!</definedName>
  </definedNames>
  <calcPr calcId="125725"/>
</workbook>
</file>

<file path=xl/calcChain.xml><?xml version="1.0" encoding="utf-8"?>
<calcChain xmlns="http://schemas.openxmlformats.org/spreadsheetml/2006/main">
  <c r="T38" i="7"/>
  <c r="T39"/>
  <c r="T40"/>
  <c r="T52"/>
  <c r="T53"/>
  <c r="AL38"/>
  <c r="AL39"/>
  <c r="AL40"/>
  <c r="AL52"/>
  <c r="AL53"/>
  <c r="BJ65"/>
  <c r="BE31" l="1"/>
  <c r="BJ67"/>
  <c r="BJ66"/>
  <c r="BJ64"/>
  <c r="AL20" i="6" l="1"/>
  <c r="AL21"/>
  <c r="AL22"/>
  <c r="CO22" s="1"/>
  <c r="AL23"/>
  <c r="CO23" s="1"/>
  <c r="BD31"/>
  <c r="BD32"/>
  <c r="BD33"/>
  <c r="BD34"/>
  <c r="BD35"/>
  <c r="BD36"/>
  <c r="BD37"/>
  <c r="BJ37"/>
  <c r="BF37"/>
  <c r="BE37"/>
  <c r="AL37"/>
  <c r="CO37" s="1"/>
  <c r="T37"/>
  <c r="CB37" s="1"/>
  <c r="B37"/>
  <c r="CO36"/>
  <c r="BF36"/>
  <c r="BE36"/>
  <c r="AL36"/>
  <c r="T36"/>
  <c r="CB36" s="1"/>
  <c r="B36"/>
  <c r="BJ36" s="1"/>
  <c r="CO35"/>
  <c r="BF35"/>
  <c r="BE35"/>
  <c r="AL35"/>
  <c r="T35"/>
  <c r="CB35" s="1"/>
  <c r="B35"/>
  <c r="BJ35" s="1"/>
  <c r="BF34"/>
  <c r="BE34"/>
  <c r="AL34"/>
  <c r="CO34" s="1"/>
  <c r="T34"/>
  <c r="CB34" s="1"/>
  <c r="B34"/>
  <c r="BJ34" s="1"/>
  <c r="CB33"/>
  <c r="BF33"/>
  <c r="BE33"/>
  <c r="AL33"/>
  <c r="CO33" s="1"/>
  <c r="T33"/>
  <c r="B33"/>
  <c r="BJ33" s="1"/>
  <c r="BF32"/>
  <c r="BE32"/>
  <c r="AL32"/>
  <c r="CO32" s="1"/>
  <c r="T32"/>
  <c r="CB32" s="1"/>
  <c r="B32"/>
  <c r="BJ32" s="1"/>
  <c r="BF31"/>
  <c r="BE31"/>
  <c r="AL31"/>
  <c r="CO31" s="1"/>
  <c r="T31"/>
  <c r="CB31" s="1"/>
  <c r="B31"/>
  <c r="BJ31" s="1"/>
  <c r="BF30"/>
  <c r="BE30"/>
  <c r="BD30"/>
  <c r="AL30"/>
  <c r="CO30" s="1"/>
  <c r="T30"/>
  <c r="CB30" s="1"/>
  <c r="B30"/>
  <c r="BF29"/>
  <c r="BE29"/>
  <c r="BD29"/>
  <c r="AL29"/>
  <c r="CO29" s="1"/>
  <c r="T29"/>
  <c r="CB29" s="1"/>
  <c r="B29"/>
  <c r="BJ29" s="1"/>
  <c r="CB28"/>
  <c r="BF28"/>
  <c r="BE28"/>
  <c r="BD28"/>
  <c r="AL28"/>
  <c r="CO28" s="1"/>
  <c r="T28"/>
  <c r="B28"/>
  <c r="BJ28" s="1"/>
  <c r="BF27"/>
  <c r="BE27"/>
  <c r="BD27"/>
  <c r="AL27"/>
  <c r="CO27" s="1"/>
  <c r="T27"/>
  <c r="CB27" s="1"/>
  <c r="B27"/>
  <c r="BJ27" s="1"/>
  <c r="BF26"/>
  <c r="BE26"/>
  <c r="BD26"/>
  <c r="AL26"/>
  <c r="CO26" s="1"/>
  <c r="T26"/>
  <c r="CB26" s="1"/>
  <c r="B26"/>
  <c r="BJ26" s="1"/>
  <c r="BF25"/>
  <c r="BE25"/>
  <c r="BD25"/>
  <c r="AL25"/>
  <c r="CO25" s="1"/>
  <c r="T25"/>
  <c r="CB25" s="1"/>
  <c r="B25"/>
  <c r="BJ25" s="1"/>
  <c r="BF24"/>
  <c r="BE24"/>
  <c r="BD24"/>
  <c r="AL24"/>
  <c r="CO24" s="1"/>
  <c r="T24"/>
  <c r="CB24" s="1"/>
  <c r="B24"/>
  <c r="BJ24" s="1"/>
  <c r="BF23"/>
  <c r="BE23"/>
  <c r="BD23"/>
  <c r="T23"/>
  <c r="CB23" s="1"/>
  <c r="B23"/>
  <c r="BJ23" s="1"/>
  <c r="BF22"/>
  <c r="BE22"/>
  <c r="BD22"/>
  <c r="T22"/>
  <c r="CB22" s="1"/>
  <c r="B22"/>
  <c r="CO21"/>
  <c r="BF21"/>
  <c r="BE21"/>
  <c r="BD21"/>
  <c r="T21"/>
  <c r="CB21" s="1"/>
  <c r="B21"/>
  <c r="BJ21" s="1"/>
  <c r="CO20"/>
  <c r="BF20"/>
  <c r="BE20"/>
  <c r="BD20"/>
  <c r="T20"/>
  <c r="CB20" s="1"/>
  <c r="B20"/>
  <c r="BJ20" s="1"/>
  <c r="BF19"/>
  <c r="BE19"/>
  <c r="BD19"/>
  <c r="AL19"/>
  <c r="CO19" s="1"/>
  <c r="T19"/>
  <c r="CB19" s="1"/>
  <c r="B19"/>
  <c r="BJ19" s="1"/>
  <c r="BF18"/>
  <c r="BE18"/>
  <c r="BD18"/>
  <c r="AL18"/>
  <c r="CO18" s="1"/>
  <c r="T18"/>
  <c r="CB18" s="1"/>
  <c r="B18"/>
  <c r="BJ18" s="1"/>
  <c r="BF17"/>
  <c r="BE17"/>
  <c r="BD17"/>
  <c r="AL17"/>
  <c r="CO17" s="1"/>
  <c r="T17"/>
  <c r="CB17" s="1"/>
  <c r="B17"/>
  <c r="BJ17" s="1"/>
  <c r="BF16"/>
  <c r="BE16"/>
  <c r="BD16"/>
  <c r="AL16"/>
  <c r="CO16" s="1"/>
  <c r="T16"/>
  <c r="CB16" s="1"/>
  <c r="B16"/>
  <c r="BJ16" s="1"/>
  <c r="BF15"/>
  <c r="BE15"/>
  <c r="BD15"/>
  <c r="AL15"/>
  <c r="CO15" s="1"/>
  <c r="T15"/>
  <c r="CB15" s="1"/>
  <c r="B15"/>
  <c r="BJ15" s="1"/>
  <c r="BF14"/>
  <c r="BE14"/>
  <c r="BD14"/>
  <c r="AL14"/>
  <c r="CO14" s="1"/>
  <c r="T14"/>
  <c r="CB14" s="1"/>
  <c r="B14"/>
  <c r="BJ14" s="1"/>
  <c r="BL14" i="1"/>
  <c r="BL15"/>
  <c r="BL16"/>
  <c r="CP55" i="7"/>
  <c r="CB55"/>
  <c r="BF55"/>
  <c r="BE55"/>
  <c r="BD55"/>
  <c r="B55"/>
  <c r="BJ55" s="1"/>
  <c r="CP54"/>
  <c r="CB54"/>
  <c r="BF54"/>
  <c r="BE54"/>
  <c r="BD54"/>
  <c r="B54"/>
  <c r="BJ54" s="1"/>
  <c r="BF53"/>
  <c r="BE53"/>
  <c r="BD53"/>
  <c r="CP53"/>
  <c r="CB53"/>
  <c r="B53"/>
  <c r="BJ53" s="1"/>
  <c r="BF52"/>
  <c r="BE52"/>
  <c r="BD52"/>
  <c r="CP52"/>
  <c r="CB52"/>
  <c r="B52"/>
  <c r="BJ52" s="1"/>
  <c r="BF51"/>
  <c r="BE51"/>
  <c r="AL51"/>
  <c r="CP51" s="1"/>
  <c r="T51"/>
  <c r="CB51" s="1"/>
  <c r="C51"/>
  <c r="BD51" s="1"/>
  <c r="BF50"/>
  <c r="BE50"/>
  <c r="AL50"/>
  <c r="CP50" s="1"/>
  <c r="T50"/>
  <c r="CB50" s="1"/>
  <c r="C50"/>
  <c r="BD50" s="1"/>
  <c r="BF49"/>
  <c r="BE49"/>
  <c r="AL49"/>
  <c r="CP49" s="1"/>
  <c r="T49"/>
  <c r="CB49" s="1"/>
  <c r="C49"/>
  <c r="BD49" s="1"/>
  <c r="BF48"/>
  <c r="BE48"/>
  <c r="AL48"/>
  <c r="CP48" s="1"/>
  <c r="T48"/>
  <c r="CB48" s="1"/>
  <c r="C48"/>
  <c r="BD48" s="1"/>
  <c r="BF47"/>
  <c r="BE47"/>
  <c r="AL47"/>
  <c r="CP47" s="1"/>
  <c r="T47"/>
  <c r="CB47" s="1"/>
  <c r="C47"/>
  <c r="BD47" s="1"/>
  <c r="BF46"/>
  <c r="BE46"/>
  <c r="AL46"/>
  <c r="CP46" s="1"/>
  <c r="T46"/>
  <c r="CB46" s="1"/>
  <c r="C46"/>
  <c r="BD46" s="1"/>
  <c r="BF45"/>
  <c r="BE45"/>
  <c r="BD45"/>
  <c r="AL45"/>
  <c r="CP45" s="1"/>
  <c r="T45"/>
  <c r="CB45" s="1"/>
  <c r="B45"/>
  <c r="BJ45" s="1"/>
  <c r="BF44"/>
  <c r="BE44"/>
  <c r="BD44"/>
  <c r="AL44"/>
  <c r="CP44" s="1"/>
  <c r="T44"/>
  <c r="CB44" s="1"/>
  <c r="B44"/>
  <c r="BJ44" s="1"/>
  <c r="BF43"/>
  <c r="BE43"/>
  <c r="BD43"/>
  <c r="AL43"/>
  <c r="CP43" s="1"/>
  <c r="T43"/>
  <c r="CB43" s="1"/>
  <c r="B43"/>
  <c r="BJ43" s="1"/>
  <c r="BF42"/>
  <c r="BE42"/>
  <c r="BD42"/>
  <c r="AL42"/>
  <c r="CP42" s="1"/>
  <c r="T42"/>
  <c r="CB42" s="1"/>
  <c r="B42"/>
  <c r="BJ42" s="1"/>
  <c r="BF41"/>
  <c r="BE41"/>
  <c r="BD41"/>
  <c r="AL41"/>
  <c r="CP41" s="1"/>
  <c r="T41"/>
  <c r="B41"/>
  <c r="BJ41" s="1"/>
  <c r="BF40"/>
  <c r="BE40"/>
  <c r="BD40"/>
  <c r="CP40"/>
  <c r="B40"/>
  <c r="BJ40" s="1"/>
  <c r="BF39"/>
  <c r="BE39"/>
  <c r="BD39"/>
  <c r="CP39"/>
  <c r="CB39"/>
  <c r="B39"/>
  <c r="BJ39" s="1"/>
  <c r="BF38"/>
  <c r="BE38"/>
  <c r="BD38"/>
  <c r="CP38"/>
  <c r="B38"/>
  <c r="BJ38" s="1"/>
  <c r="BF37"/>
  <c r="BE37"/>
  <c r="BD37"/>
  <c r="AL37"/>
  <c r="CP37" s="1"/>
  <c r="T37"/>
  <c r="CB37" s="1"/>
  <c r="B37"/>
  <c r="BJ37" s="1"/>
  <c r="BF36"/>
  <c r="BE36"/>
  <c r="BD36"/>
  <c r="AL36"/>
  <c r="CP36" s="1"/>
  <c r="T36"/>
  <c r="B36"/>
  <c r="BJ36" s="1"/>
  <c r="BF35"/>
  <c r="BE35"/>
  <c r="BD35"/>
  <c r="AL35"/>
  <c r="CP35" s="1"/>
  <c r="T35"/>
  <c r="CB35" s="1"/>
  <c r="B35"/>
  <c r="BJ35" s="1"/>
  <c r="BF34"/>
  <c r="BE34"/>
  <c r="BD34"/>
  <c r="AL34"/>
  <c r="CP34" s="1"/>
  <c r="T34"/>
  <c r="CB34" s="1"/>
  <c r="B34"/>
  <c r="BJ34" s="1"/>
  <c r="BF33"/>
  <c r="BE33"/>
  <c r="BD33"/>
  <c r="AL33"/>
  <c r="CP33" s="1"/>
  <c r="T33"/>
  <c r="CB33" s="1"/>
  <c r="B33"/>
  <c r="BJ33" s="1"/>
  <c r="BF32"/>
  <c r="BE32"/>
  <c r="BD32"/>
  <c r="AL32"/>
  <c r="CP32" s="1"/>
  <c r="T32"/>
  <c r="B32"/>
  <c r="BJ32" s="1"/>
  <c r="BF31"/>
  <c r="BD31"/>
  <c r="AL31"/>
  <c r="CP31" s="1"/>
  <c r="T31"/>
  <c r="CB31" s="1"/>
  <c r="B31"/>
  <c r="BJ31" s="1"/>
  <c r="BF30"/>
  <c r="BE30"/>
  <c r="BD30"/>
  <c r="AL30"/>
  <c r="CP30" s="1"/>
  <c r="T30"/>
  <c r="CB30" s="1"/>
  <c r="B30"/>
  <c r="BJ30" s="1"/>
  <c r="BF29"/>
  <c r="BE29"/>
  <c r="BD29"/>
  <c r="AL29"/>
  <c r="CP29" s="1"/>
  <c r="T29"/>
  <c r="CB29" s="1"/>
  <c r="B29"/>
  <c r="BJ29" s="1"/>
  <c r="BF28"/>
  <c r="BE28"/>
  <c r="BD28"/>
  <c r="AL28"/>
  <c r="CP28" s="1"/>
  <c r="T28"/>
  <c r="CB28" s="1"/>
  <c r="B28"/>
  <c r="BJ28" s="1"/>
  <c r="BF27"/>
  <c r="BE27"/>
  <c r="BD27"/>
  <c r="AL27"/>
  <c r="CP27" s="1"/>
  <c r="T27"/>
  <c r="CB27" s="1"/>
  <c r="B27"/>
  <c r="BJ27" s="1"/>
  <c r="BF26"/>
  <c r="BE26"/>
  <c r="BD26"/>
  <c r="AL26"/>
  <c r="CP26" s="1"/>
  <c r="T26"/>
  <c r="CB26" s="1"/>
  <c r="B26"/>
  <c r="BJ26" s="1"/>
  <c r="BF25"/>
  <c r="BE25"/>
  <c r="BD25"/>
  <c r="AL25"/>
  <c r="CP25" s="1"/>
  <c r="T25"/>
  <c r="CB25" s="1"/>
  <c r="B25"/>
  <c r="BJ25" s="1"/>
  <c r="BF24"/>
  <c r="BE24"/>
  <c r="BD24"/>
  <c r="AL24"/>
  <c r="CP24" s="1"/>
  <c r="T24"/>
  <c r="CB24" s="1"/>
  <c r="B24"/>
  <c r="BJ24" s="1"/>
  <c r="BF23"/>
  <c r="BE23"/>
  <c r="BD23"/>
  <c r="AL23"/>
  <c r="CP23" s="1"/>
  <c r="T23"/>
  <c r="CB23" s="1"/>
  <c r="B23"/>
  <c r="BJ23" s="1"/>
  <c r="BF22"/>
  <c r="BE22"/>
  <c r="BD22"/>
  <c r="AL22"/>
  <c r="CP22" s="1"/>
  <c r="T22"/>
  <c r="CB22" s="1"/>
  <c r="B22"/>
  <c r="BJ22" s="1"/>
  <c r="BF21"/>
  <c r="BE21"/>
  <c r="BD21"/>
  <c r="AL21"/>
  <c r="CP21" s="1"/>
  <c r="T21"/>
  <c r="CB21" s="1"/>
  <c r="B21"/>
  <c r="BJ21" s="1"/>
  <c r="BF20"/>
  <c r="BE20"/>
  <c r="BD20"/>
  <c r="AL20"/>
  <c r="CP20" s="1"/>
  <c r="T20"/>
  <c r="CB20" s="1"/>
  <c r="B20"/>
  <c r="BJ20" s="1"/>
  <c r="BF19"/>
  <c r="BE19"/>
  <c r="BD19"/>
  <c r="AL19"/>
  <c r="CP19" s="1"/>
  <c r="T19"/>
  <c r="CB19" s="1"/>
  <c r="B19"/>
  <c r="BJ19" s="1"/>
  <c r="BF18"/>
  <c r="BE18"/>
  <c r="BD18"/>
  <c r="AL18"/>
  <c r="CP18" s="1"/>
  <c r="T18"/>
  <c r="CB18" s="1"/>
  <c r="B18"/>
  <c r="BJ18" s="1"/>
  <c r="BF17"/>
  <c r="BE17"/>
  <c r="BD17"/>
  <c r="AL17"/>
  <c r="CP17" s="1"/>
  <c r="T17"/>
  <c r="CB17" s="1"/>
  <c r="B17"/>
  <c r="BJ17" s="1"/>
  <c r="CP16"/>
  <c r="BF16"/>
  <c r="BE16"/>
  <c r="BD16"/>
  <c r="T16"/>
  <c r="CB16" s="1"/>
  <c r="B16"/>
  <c r="BJ16" s="1"/>
  <c r="CP15"/>
  <c r="BF15"/>
  <c r="BE15"/>
  <c r="BD15"/>
  <c r="T15"/>
  <c r="CB15" s="1"/>
  <c r="B15"/>
  <c r="BJ15" s="1"/>
  <c r="CP14"/>
  <c r="BF14"/>
  <c r="BE14"/>
  <c r="BD14"/>
  <c r="T14"/>
  <c r="CB14" s="1"/>
  <c r="B14"/>
  <c r="BJ14" s="1"/>
  <c r="BF13"/>
  <c r="BE13"/>
  <c r="BD13"/>
  <c r="AL13"/>
  <c r="CP13" s="1"/>
  <c r="T13"/>
  <c r="CB13" s="1"/>
  <c r="B13"/>
  <c r="BJ13" s="1"/>
  <c r="BF12"/>
  <c r="BE12"/>
  <c r="BD12"/>
  <c r="AL12"/>
  <c r="CP12" s="1"/>
  <c r="T12"/>
  <c r="CB12" s="1"/>
  <c r="B12"/>
  <c r="BJ12" s="1"/>
  <c r="BF11"/>
  <c r="BE11"/>
  <c r="BD11"/>
  <c r="AL11"/>
  <c r="CP11" s="1"/>
  <c r="T11"/>
  <c r="CB11" s="1"/>
  <c r="B11"/>
  <c r="BJ11" s="1"/>
  <c r="BF10"/>
  <c r="BE10"/>
  <c r="BD10"/>
  <c r="AL10"/>
  <c r="CP10" s="1"/>
  <c r="T10"/>
  <c r="CB10" s="1"/>
  <c r="B10"/>
  <c r="BJ10" s="1"/>
  <c r="BF9"/>
  <c r="BE9"/>
  <c r="BD9"/>
  <c r="AL9"/>
  <c r="CP9" s="1"/>
  <c r="T9"/>
  <c r="CB9" s="1"/>
  <c r="B9"/>
  <c r="BJ9" s="1"/>
  <c r="BF8"/>
  <c r="BE8"/>
  <c r="BD8"/>
  <c r="AL8"/>
  <c r="CP8" s="1"/>
  <c r="T8"/>
  <c r="CB8" s="1"/>
  <c r="B8"/>
  <c r="B48" l="1"/>
  <c r="BJ48" s="1"/>
  <c r="BJ51" i="6"/>
  <c r="BJ50"/>
  <c r="BJ30"/>
  <c r="BJ22"/>
  <c r="BJ49"/>
  <c r="B50" i="7"/>
  <c r="BJ50" s="1"/>
  <c r="B46"/>
  <c r="B49"/>
  <c r="CB36"/>
  <c r="CB32"/>
  <c r="CB40"/>
  <c r="CB41"/>
  <c r="B47"/>
  <c r="BJ47" s="1"/>
  <c r="B51"/>
  <c r="BJ51" s="1"/>
  <c r="CB38"/>
  <c r="BJ8"/>
  <c r="AL24" i="2"/>
  <c r="K103" i="5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84"/>
  <c r="BJ46" i="7" l="1"/>
  <c r="BJ68"/>
  <c r="BJ49"/>
  <c r="BJ69"/>
  <c r="T24" i="2"/>
  <c r="CP24" l="1"/>
  <c r="CP36"/>
  <c r="CP37"/>
  <c r="CB24"/>
  <c r="CB36"/>
  <c r="CB37"/>
  <c r="BF17" i="1"/>
  <c r="BF18"/>
  <c r="BF19"/>
  <c r="BF20"/>
  <c r="BF21"/>
  <c r="BF22"/>
  <c r="BF23"/>
  <c r="BF24"/>
  <c r="BF25"/>
  <c r="BF26"/>
  <c r="BF27"/>
  <c r="BF28"/>
  <c r="BF29"/>
  <c r="BF30"/>
  <c r="BF31"/>
  <c r="AL22"/>
  <c r="BL22" s="1"/>
  <c r="E41" i="4" l="1"/>
  <c r="E42"/>
  <c r="E43"/>
  <c r="B15" i="2"/>
  <c r="BJ15" s="1"/>
  <c r="B16"/>
  <c r="BJ16" s="1"/>
  <c r="B17"/>
  <c r="B18"/>
  <c r="BJ18" s="1"/>
  <c r="B19"/>
  <c r="BJ19" s="1"/>
  <c r="B20"/>
  <c r="BJ20" s="1"/>
  <c r="B21"/>
  <c r="BJ21" s="1"/>
  <c r="B22"/>
  <c r="BJ22" s="1"/>
  <c r="B23"/>
  <c r="B24"/>
  <c r="BJ24" s="1"/>
  <c r="B25"/>
  <c r="BJ25" s="1"/>
  <c r="B26"/>
  <c r="BJ26" s="1"/>
  <c r="B27"/>
  <c r="BJ27" s="1"/>
  <c r="B34"/>
  <c r="BJ34" s="1"/>
  <c r="B35"/>
  <c r="BJ35" s="1"/>
  <c r="B36"/>
  <c r="BJ36" s="1"/>
  <c r="B37"/>
  <c r="BJ37" s="1"/>
  <c r="BD15"/>
  <c r="BD16"/>
  <c r="BD17"/>
  <c r="BD18"/>
  <c r="BD19"/>
  <c r="BD20"/>
  <c r="BD21"/>
  <c r="BD22"/>
  <c r="BD23"/>
  <c r="BD24"/>
  <c r="BD25"/>
  <c r="BD26"/>
  <c r="BD27"/>
  <c r="BD34"/>
  <c r="BD35"/>
  <c r="BD36"/>
  <c r="BD37"/>
  <c r="BJ23" l="1"/>
  <c r="BJ17"/>
  <c r="C32"/>
  <c r="C33"/>
  <c r="C31"/>
  <c r="C29"/>
  <c r="C30"/>
  <c r="C28"/>
  <c r="AL20"/>
  <c r="CP20" s="1"/>
  <c r="AL21"/>
  <c r="CP21" s="1"/>
  <c r="AL22"/>
  <c r="CP22" s="1"/>
  <c r="T20"/>
  <c r="T21"/>
  <c r="T22"/>
  <c r="E68" i="4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36"/>
  <c r="E24"/>
  <c r="E25"/>
  <c r="E26"/>
  <c r="E27"/>
  <c r="E28"/>
  <c r="E29"/>
  <c r="E30"/>
  <c r="E31"/>
  <c r="E32"/>
  <c r="E33"/>
  <c r="E34"/>
  <c r="E35"/>
  <c r="E4"/>
  <c r="E5"/>
  <c r="E12"/>
  <c r="E13"/>
  <c r="E14"/>
  <c r="E15"/>
  <c r="E16"/>
  <c r="E17"/>
  <c r="E18"/>
  <c r="E19"/>
  <c r="E20"/>
  <c r="E21"/>
  <c r="E22"/>
  <c r="E23"/>
  <c r="E3"/>
  <c r="BE17" i="1"/>
  <c r="BE18"/>
  <c r="BE19"/>
  <c r="BE20"/>
  <c r="BE21"/>
  <c r="BE22"/>
  <c r="BE23"/>
  <c r="BE24"/>
  <c r="BE25"/>
  <c r="BE26"/>
  <c r="BE27"/>
  <c r="BE28"/>
  <c r="BE29"/>
  <c r="BE30"/>
  <c r="BE31"/>
  <c r="B30"/>
  <c r="BJ30" s="1"/>
  <c r="AL15" i="2"/>
  <c r="CP15" s="1"/>
  <c r="AL16"/>
  <c r="CP16" s="1"/>
  <c r="AL17"/>
  <c r="CP17" s="1"/>
  <c r="AL18"/>
  <c r="CP18" s="1"/>
  <c r="AL19"/>
  <c r="CP19" s="1"/>
  <c r="AL23"/>
  <c r="CP23" s="1"/>
  <c r="AL25"/>
  <c r="CP25" s="1"/>
  <c r="AL26"/>
  <c r="CP26" s="1"/>
  <c r="AL27"/>
  <c r="CP27" s="1"/>
  <c r="AL28"/>
  <c r="CP28" s="1"/>
  <c r="AL29"/>
  <c r="CP29" s="1"/>
  <c r="AL30"/>
  <c r="CP30" s="1"/>
  <c r="AL31"/>
  <c r="CP31" s="1"/>
  <c r="AL32"/>
  <c r="CP32" s="1"/>
  <c r="AL33"/>
  <c r="CP33" s="1"/>
  <c r="AL34"/>
  <c r="CP34" s="1"/>
  <c r="AL35"/>
  <c r="CP35" s="1"/>
  <c r="AL14"/>
  <c r="CP14" s="1"/>
  <c r="T15"/>
  <c r="T16"/>
  <c r="T17"/>
  <c r="T18"/>
  <c r="T19"/>
  <c r="T23"/>
  <c r="T25"/>
  <c r="CB25" s="1"/>
  <c r="T26"/>
  <c r="CB26" s="1"/>
  <c r="T27"/>
  <c r="CB27" s="1"/>
  <c r="T28"/>
  <c r="CB28" s="1"/>
  <c r="T29"/>
  <c r="CB29" s="1"/>
  <c r="T30"/>
  <c r="CB30" s="1"/>
  <c r="T31"/>
  <c r="CB31" s="1"/>
  <c r="T32"/>
  <c r="CB32" s="1"/>
  <c r="T33"/>
  <c r="CB33" s="1"/>
  <c r="T34"/>
  <c r="CB34" s="1"/>
  <c r="T35"/>
  <c r="CB35" s="1"/>
  <c r="T14"/>
  <c r="B14"/>
  <c r="BJ14" s="1"/>
  <c r="AL9" i="1"/>
  <c r="BL9" s="1"/>
  <c r="AL10"/>
  <c r="BL10" s="1"/>
  <c r="AL11"/>
  <c r="BL11" s="1"/>
  <c r="AL12"/>
  <c r="BL12" s="1"/>
  <c r="AL13"/>
  <c r="BL13" s="1"/>
  <c r="AL17"/>
  <c r="BL17" s="1"/>
  <c r="AL18"/>
  <c r="BL18" s="1"/>
  <c r="AL19"/>
  <c r="BL19" s="1"/>
  <c r="AL20"/>
  <c r="BL20" s="1"/>
  <c r="AL21"/>
  <c r="BL21" s="1"/>
  <c r="AL23"/>
  <c r="BL23" s="1"/>
  <c r="AL24"/>
  <c r="BL24" s="1"/>
  <c r="AL25"/>
  <c r="BL25" s="1"/>
  <c r="AL26"/>
  <c r="BL26" s="1"/>
  <c r="AL27"/>
  <c r="BL27" s="1"/>
  <c r="AL28"/>
  <c r="BL28" s="1"/>
  <c r="AL29"/>
  <c r="BL29" s="1"/>
  <c r="AL30"/>
  <c r="BL30" s="1"/>
  <c r="AL31"/>
  <c r="BL31" s="1"/>
  <c r="AL8"/>
  <c r="BL8" s="1"/>
  <c r="T10"/>
  <c r="BK10" s="1"/>
  <c r="T11"/>
  <c r="BK11" s="1"/>
  <c r="T12"/>
  <c r="BK12" s="1"/>
  <c r="T13"/>
  <c r="BK13" s="1"/>
  <c r="T14"/>
  <c r="BK14" s="1"/>
  <c r="T15"/>
  <c r="BK15" s="1"/>
  <c r="T16"/>
  <c r="BK16" s="1"/>
  <c r="T17"/>
  <c r="BK17" s="1"/>
  <c r="T18"/>
  <c r="BK18" s="1"/>
  <c r="T19"/>
  <c r="BK19" s="1"/>
  <c r="T20"/>
  <c r="BK20" s="1"/>
  <c r="T21"/>
  <c r="BK21" s="1"/>
  <c r="T22"/>
  <c r="BK22" s="1"/>
  <c r="T23"/>
  <c r="BK23" s="1"/>
  <c r="T24"/>
  <c r="BK24" s="1"/>
  <c r="T25"/>
  <c r="BK25" s="1"/>
  <c r="T26"/>
  <c r="BK26" s="1"/>
  <c r="T27"/>
  <c r="BK27" s="1"/>
  <c r="T28"/>
  <c r="BK28" s="1"/>
  <c r="T29"/>
  <c r="BK29" s="1"/>
  <c r="T30"/>
  <c r="BK30" s="1"/>
  <c r="T31"/>
  <c r="BK31" s="1"/>
  <c r="T9"/>
  <c r="BK9" s="1"/>
  <c r="B9"/>
  <c r="BJ9" s="1"/>
  <c r="B10"/>
  <c r="BJ10" s="1"/>
  <c r="B11"/>
  <c r="BJ11" s="1"/>
  <c r="B12"/>
  <c r="BJ12" s="1"/>
  <c r="B13"/>
  <c r="BJ13" s="1"/>
  <c r="B14"/>
  <c r="BJ14" s="1"/>
  <c r="B15"/>
  <c r="BJ15" s="1"/>
  <c r="B16"/>
  <c r="BJ16" s="1"/>
  <c r="B17"/>
  <c r="BJ17" s="1"/>
  <c r="B18"/>
  <c r="BJ18" s="1"/>
  <c r="B19"/>
  <c r="BJ19" s="1"/>
  <c r="B20"/>
  <c r="BJ20" s="1"/>
  <c r="B21"/>
  <c r="BJ21" s="1"/>
  <c r="B22"/>
  <c r="BJ22" s="1"/>
  <c r="B23"/>
  <c r="BJ23" s="1"/>
  <c r="B24"/>
  <c r="BJ24" s="1"/>
  <c r="B25"/>
  <c r="BJ25" s="1"/>
  <c r="B26"/>
  <c r="BJ26" s="1"/>
  <c r="B27"/>
  <c r="BJ27" s="1"/>
  <c r="B28"/>
  <c r="BJ28" s="1"/>
  <c r="B29"/>
  <c r="BJ29" s="1"/>
  <c r="B31"/>
  <c r="BJ31" s="1"/>
  <c r="T8"/>
  <c r="BK8" s="1"/>
  <c r="B8"/>
  <c r="BJ8" s="1"/>
  <c r="BF15" i="2"/>
  <c r="BF16"/>
  <c r="BF17"/>
  <c r="BF18"/>
  <c r="BF19"/>
  <c r="BF20"/>
  <c r="BF21"/>
  <c r="BF22"/>
  <c r="BF23"/>
  <c r="BF24"/>
  <c r="BF25"/>
  <c r="BF26"/>
  <c r="BF27"/>
  <c r="BF28"/>
  <c r="BF29"/>
  <c r="BF30"/>
  <c r="BF31"/>
  <c r="BF32"/>
  <c r="BF33"/>
  <c r="BF34"/>
  <c r="BF35"/>
  <c r="BF36"/>
  <c r="BF37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BE33"/>
  <c r="BE34"/>
  <c r="BE35"/>
  <c r="BE36"/>
  <c r="BE37"/>
  <c r="BF14"/>
  <c r="BE14"/>
  <c r="BD14"/>
  <c r="BF9" i="1"/>
  <c r="BF10"/>
  <c r="BF11"/>
  <c r="BF12"/>
  <c r="BF13"/>
  <c r="BF14"/>
  <c r="BF15"/>
  <c r="BF16"/>
  <c r="BE9"/>
  <c r="BE10"/>
  <c r="BE11"/>
  <c r="BE12"/>
  <c r="BE13"/>
  <c r="BE14"/>
  <c r="BE15"/>
  <c r="BE16"/>
  <c r="BD9"/>
  <c r="BD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F8"/>
  <c r="BE8"/>
  <c r="BD8"/>
  <c r="T46" i="2" l="1"/>
  <c r="CB22"/>
  <c r="T45"/>
  <c r="CB21"/>
  <c r="T44"/>
  <c r="CB20"/>
  <c r="CB23"/>
  <c r="T47"/>
  <c r="BJ42"/>
  <c r="BA42" i="1" s="1"/>
  <c r="CB17" i="2"/>
  <c r="D47"/>
  <c r="BJ43"/>
  <c r="BA43" i="1" s="1"/>
  <c r="D45" i="2"/>
  <c r="CB15"/>
  <c r="CB19"/>
  <c r="D49"/>
  <c r="CB18"/>
  <c r="D48"/>
  <c r="D44"/>
  <c r="CB14"/>
  <c r="CB16"/>
  <c r="D46"/>
  <c r="BA39" i="1"/>
  <c r="BA40"/>
  <c r="BA38"/>
  <c r="BD30" i="2"/>
  <c r="B30"/>
  <c r="BD29"/>
  <c r="B29"/>
  <c r="BJ29" s="1"/>
  <c r="BD33"/>
  <c r="B33"/>
  <c r="BJ33" s="1"/>
  <c r="BD28"/>
  <c r="B28"/>
  <c r="BJ28" s="1"/>
  <c r="B31"/>
  <c r="BJ31" s="1"/>
  <c r="BD31"/>
  <c r="B32"/>
  <c r="BJ32" s="1"/>
  <c r="BD32"/>
  <c r="BJ44" l="1"/>
  <c r="BA44" i="1" s="1"/>
  <c r="BJ30" i="2"/>
</calcChain>
</file>

<file path=xl/sharedStrings.xml><?xml version="1.0" encoding="utf-8"?>
<sst xmlns="http://schemas.openxmlformats.org/spreadsheetml/2006/main" count="1295" uniqueCount="438">
  <si>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</si>
  <si>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</si>
  <si>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</si>
  <si>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</si>
  <si>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</si>
  <si>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</si>
  <si>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</si>
  <si>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</si>
  <si>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</si>
  <si>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</si>
  <si>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</si>
  <si>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</si>
  <si>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</si>
  <si>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</si>
  <si>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</si>
  <si>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</si>
  <si>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PS Vccint 1V0</t>
  </si>
  <si>
    <t>PL Vbram 1V0</t>
  </si>
  <si>
    <t>PS Vccaux 1V8</t>
  </si>
  <si>
    <t>PS Vccmem 1V35</t>
  </si>
  <si>
    <t>Brd 2V5</t>
  </si>
  <si>
    <t>Brd 5V0</t>
  </si>
  <si>
    <t>PL MGT 1V0</t>
  </si>
  <si>
    <t>PL MGT 1V2</t>
  </si>
  <si>
    <t>PL MGT 1V8</t>
  </si>
  <si>
    <t>L2 PLL 1V0</t>
  </si>
  <si>
    <t>L2 1V8</t>
  </si>
  <si>
    <t>L2 2V5</t>
  </si>
  <si>
    <t>L2 AVDD 1V0</t>
  </si>
  <si>
    <t>Command and Status Line</t>
  </si>
  <si>
    <t>Brd 3V3</t>
  </si>
  <si>
    <t>Brd 12V0</t>
  </si>
  <si>
    <t>PS DDR3 0V675</t>
  </si>
  <si>
    <t>PL DDR3 0V675</t>
  </si>
  <si>
    <t>Brd DDR3 1V35</t>
  </si>
  <si>
    <t>CJ Vccint 0V95</t>
  </si>
  <si>
    <t>CJ Vccaux 1V8</t>
  </si>
  <si>
    <t>CJ Vbram 0V95</t>
  </si>
  <si>
    <t>CP Brd 1V0</t>
  </si>
  <si>
    <t>CJ SW 3V3</t>
  </si>
  <si>
    <t>PL Vbram min 1V0</t>
  </si>
  <si>
    <t>PL Vbram max 1V0</t>
  </si>
  <si>
    <t>PS Vint min 1V0</t>
  </si>
  <si>
    <t>PS Vint max 1V0</t>
  </si>
  <si>
    <t>PS Vaux min 1V8</t>
  </si>
  <si>
    <t>PS Vaux max 1V8</t>
  </si>
  <si>
    <t>PS Vmem min 1V35</t>
  </si>
  <si>
    <t>PS Vmem max 1V35</t>
  </si>
  <si>
    <t>CJ MGT 1V8</t>
  </si>
  <si>
    <t>CJ MGT 1V2</t>
  </si>
  <si>
    <t>CJ MGT 1V0</t>
  </si>
  <si>
    <t>CU 3V3</t>
  </si>
  <si>
    <t>NCO 1V8</t>
  </si>
  <si>
    <t>CP SW 3V3</t>
  </si>
  <si>
    <t>CP SW 2V5</t>
  </si>
  <si>
    <t>Robo Brd 1V2</t>
  </si>
  <si>
    <t>DSPY 12V0</t>
  </si>
  <si>
    <t>PEX 1V0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</si>
  <si>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</si>
  <si>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</si>
  <si>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</si>
  <si>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</si>
  <si>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</si>
  <si>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</si>
  <si>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</si>
  <si>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</si>
  <si>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</si>
  <si>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</si>
  <si>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</si>
  <si>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</si>
  <si>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CJ Vint min 0V95</t>
  </si>
  <si>
    <t>CJ Vint max 0V95</t>
  </si>
  <si>
    <t>CJ Vram min 0V95</t>
  </si>
  <si>
    <t>CJ Vram max 0V95</t>
  </si>
  <si>
    <t>CJ Vaux min 1V8</t>
  </si>
  <si>
    <t>CJ Vaux max 1V8</t>
  </si>
  <si>
    <t>PSU1 VIN</t>
  </si>
  <si>
    <t>PSU1 IIN</t>
  </si>
  <si>
    <t>PSU1 IOUT</t>
  </si>
  <si>
    <t>PSU1 POUT</t>
  </si>
  <si>
    <t>PSU1 PIN</t>
  </si>
  <si>
    <t>PSU1 VOUT</t>
  </si>
  <si>
    <t>PSU2 VIN</t>
  </si>
  <si>
    <t>PSU2 IIN</t>
  </si>
  <si>
    <t>PSU2 IOUT</t>
  </si>
  <si>
    <t>PSU2 POUT</t>
  </si>
  <si>
    <t>PSU2 PIN</t>
  </si>
  <si>
    <t>PSU2 VOUT</t>
  </si>
  <si>
    <t>W</t>
  </si>
  <si>
    <t>PSU1 FAN SPD</t>
  </si>
  <si>
    <t>PSU2 FAN SPD</t>
  </si>
  <si>
    <t>CU1 Fan Spd 1</t>
  </si>
  <si>
    <t>CU1 Fan Spd 6</t>
  </si>
  <si>
    <t>CU1 Fan Spd 2</t>
  </si>
  <si>
    <t>CU1 Fan Spd 3</t>
  </si>
  <si>
    <t>CU1 Fan Spd 4</t>
  </si>
  <si>
    <t>CU1 Fan Spd 5</t>
  </si>
  <si>
    <t>CU1 Temp 1</t>
  </si>
  <si>
    <t>CU1 Temp 2</t>
  </si>
  <si>
    <t>CU1 Temp 3</t>
  </si>
  <si>
    <t>CU1 Ctrl Temp</t>
  </si>
  <si>
    <t>CU1 Remote</t>
  </si>
  <si>
    <t>CU2 Fan Spd 1</t>
  </si>
  <si>
    <t>CU2 Fan Spd 2</t>
  </si>
  <si>
    <t>CU2 Fan Spd 3</t>
  </si>
  <si>
    <t>CU2 Fan Spd 4</t>
  </si>
  <si>
    <t>CU2 Fan Spd 5</t>
  </si>
  <si>
    <t>CU2 Fan Spd 6</t>
  </si>
  <si>
    <t>CU2 Temp 1</t>
  </si>
  <si>
    <t>CU2 Temp 2</t>
  </si>
  <si>
    <t>CU2 Temp 3</t>
  </si>
  <si>
    <t>CU2 Ctrl Temp</t>
  </si>
  <si>
    <t>CU2 Remote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</si>
  <si>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</si>
  <si>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</si>
  <si>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</si>
  <si>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</si>
  <si>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</si>
  <si>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</si>
  <si>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</si>
  <si>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</si>
  <si>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</si>
  <si>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</si>
  <si>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Blank46</t>
  </si>
  <si>
    <t>Blank47</t>
  </si>
  <si>
    <t>Blank70</t>
  </si>
  <si>
    <t>Blank71</t>
  </si>
  <si>
    <t>Blank54</t>
  </si>
  <si>
    <t>Blank55</t>
  </si>
  <si>
    <t>Blank56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</si>
  <si>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</si>
  <si>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</si>
  <si>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</si>
  <si>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</si>
  <si>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</si>
  <si>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</si>
  <si>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</si>
  <si>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</si>
  <si>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</si>
  <si>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</si>
  <si>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</si>
  <si>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</si>
  <si>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</si>
  <si>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</si>
  <si>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</si>
  <si>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</si>
  <si>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</si>
  <si>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</si>
  <si>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</si>
  <si>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</si>
  <si>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</si>
  <si>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</si>
  <si>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</si>
  <si>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</si>
  <si>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</si>
  <si>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</si>
  <si>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</si>
  <si>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</si>
  <si>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</si>
  <si>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</si>
  <si>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</si>
  <si>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</si>
  <si>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</si>
  <si>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</si>
  <si>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</si>
  <si>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</si>
  <si>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</si>
  <si>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</si>
  <si>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</si>
  <si>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</si>
  <si>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</si>
  <si>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</si>
  <si>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</si>
  <si>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</si>
  <si>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</si>
  <si>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</si>
  <si>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</si>
  <si>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</si>
  <si>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</si>
  <si>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</si>
  <si>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</si>
  <si>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</si>
  <si>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</si>
  <si>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</si>
  <si>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</si>
  <si>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</si>
  <si>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</si>
  <si>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</si>
  <si>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</si>
  <si>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</si>
  <si>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</si>
  <si>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</si>
  <si>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</si>
  <si>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</si>
  <si>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</si>
  <si>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</si>
  <si>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</si>
  <si>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</si>
  <si>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</si>
  <si>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</si>
  <si>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</si>
  <si>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</si>
  <si>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</si>
  <si>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</si>
  <si>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</si>
  <si>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</si>
  <si>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</si>
  <si>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</si>
  <si>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</si>
  <si>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</si>
  <si>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</si>
  <si>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</si>
  <si>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</si>
  <si>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</si>
  <si>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</si>
  <si>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</si>
  <si>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</si>
  <si>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</si>
  <si>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</si>
  <si>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</si>
  <si>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</si>
  <si>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</si>
  <si>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</si>
  <si>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</si>
  <si>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</si>
  <si>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</si>
  <si>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</si>
  <si>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</si>
  <si>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</si>
  <si>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</si>
  <si>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</si>
  <si>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</si>
  <si>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</si>
  <si>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</si>
  <si>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</si>
  <si>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</si>
  <si>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</si>
  <si>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</si>
  <si>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</si>
  <si>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</si>
  <si>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</si>
  <si>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</si>
  <si>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</si>
  <si>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</si>
  <si>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</si>
  <si>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</si>
  <si>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</si>
  <si>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</si>
  <si>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</si>
  <si>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</si>
  <si>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</si>
  <si>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 Brd 1V8</t>
  </si>
  <si>
    <t>CpBrd1V8</t>
  </si>
  <si>
    <t>scr_index;</t>
  </si>
  <si>
    <t>ENUM:</t>
  </si>
  <si>
    <t>POL 3V3_ V</t>
  </si>
  <si>
    <t>POL 3V3_ I</t>
  </si>
  <si>
    <t>POL VINT 1V0_ V</t>
  </si>
  <si>
    <t>POL VINT 1V_ It</t>
  </si>
  <si>
    <t>POL MGT 1V0_I</t>
  </si>
  <si>
    <t xml:space="preserve">POL MGT 1V2_V </t>
  </si>
  <si>
    <t>POL MGT 1V2_I</t>
  </si>
  <si>
    <t>POL L2 AVDD_V</t>
  </si>
  <si>
    <t>POL L2 AVDD_I</t>
  </si>
  <si>
    <t>POL MGT 1V0_V</t>
  </si>
  <si>
    <t>POL L2 VDD_T</t>
  </si>
  <si>
    <t>POL VINT 1V0_T</t>
  </si>
  <si>
    <t>Brd Local 1_T</t>
  </si>
  <si>
    <t>Brd Local 2_T</t>
  </si>
  <si>
    <t>Brd Local 3_T</t>
  </si>
  <si>
    <t>ZYNQ</t>
  </si>
  <si>
    <t>Cloud Jumper</t>
  </si>
  <si>
    <t>PSU1 HotSpot_T</t>
  </si>
  <si>
    <t>PSU2 HotSpot_T</t>
  </si>
  <si>
    <t>PSU1 Inlet_T</t>
  </si>
  <si>
    <t>PSU1 Exhaust_T</t>
  </si>
  <si>
    <t>PSU2 Inlet_T</t>
  </si>
  <si>
    <t>PSU2 Exhaust_T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</si>
  <si>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</si>
  <si>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</si>
  <si>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</si>
  <si>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</si>
  <si>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</si>
  <si>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</si>
  <si>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</si>
  <si>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</si>
  <si>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</si>
  <si>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</si>
  <si>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</si>
  <si>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</si>
  <si>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</si>
  <si>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</si>
  <si>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POL L2 VDD_V</t>
  </si>
  <si>
    <t>POL L2 VDD_I1</t>
  </si>
  <si>
    <t>POL L2 VDD_I2</t>
  </si>
  <si>
    <t>POL L2 VDD_I3</t>
  </si>
  <si>
    <t>POL L2 VDD_I4</t>
  </si>
  <si>
    <t>POL L2 VDD_I5</t>
  </si>
  <si>
    <t>POL L2 VDD_It</t>
  </si>
  <si>
    <t>//Linear Scaling PSUs</t>
  </si>
  <si>
    <t>i2c_data_t i2c_data[PSU_NUM_REGS] =</t>
  </si>
  <si>
    <t>{</t>
  </si>
  <si>
    <t>};</t>
  </si>
  <si>
    <t>// Direct Scaling PSUs</t>
  </si>
  <si>
    <t>i2c_data_t i2c_data_direct[NUM_DIR_REGS] =</t>
  </si>
  <si>
    <t xml:space="preserve">   {</t>
  </si>
  <si>
    <t xml:space="preserve">       {read_temperature_1, 0x8D},</t>
  </si>
  <si>
    <t xml:space="preserve">       {read_temperature_2, 0x8E},</t>
  </si>
  <si>
    <t xml:space="preserve">       {read_temperature_3, 0x8F},</t>
  </si>
  <si>
    <t xml:space="preserve">       {read_fan speed_1  , 0x90}</t>
  </si>
  <si>
    <t xml:space="preserve">   };</t>
  </si>
  <si>
    <t>Screen 1 &gt;&gt;&gt;</t>
  </si>
  <si>
    <t>POL L2 VDD_I0</t>
  </si>
  <si>
    <t>XXXXXXXXXXXXXXX</t>
  </si>
  <si>
    <t>X</t>
  </si>
  <si>
    <t>4.1f</t>
  </si>
  <si>
    <t>CP Die Rmt_T</t>
  </si>
  <si>
    <t>CP XADC Die_T</t>
  </si>
  <si>
    <t>CP ADC Min Die_T</t>
  </si>
  <si>
    <t>CP ADC Max Die_T</t>
  </si>
  <si>
    <t>CJ XADC Die_T</t>
  </si>
  <si>
    <t>CJ ADC Min Die_T</t>
  </si>
  <si>
    <t>CJ ADC Max Die_T</t>
  </si>
  <si>
    <t>CjXadcDie_T</t>
  </si>
  <si>
    <t>CjAdcMinDie_T</t>
  </si>
  <si>
    <t>CjAdcMaxDie_T</t>
  </si>
  <si>
    <t>PSU1 Efficiency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</si>
  <si>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</si>
  <si>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</si>
  <si>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</si>
  <si>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</si>
  <si>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</si>
  <si>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</si>
  <si>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</si>
  <si>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</si>
  <si>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</si>
  <si>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</si>
  <si>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</si>
  <si>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</si>
  <si>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</si>
  <si>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</si>
  <si>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</si>
  <si>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</si>
  <si>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</si>
  <si>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</si>
  <si>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</si>
  <si>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</si>
  <si>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</si>
  <si>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</si>
  <si>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</si>
  <si>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</si>
  <si>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</si>
  <si>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</si>
  <si>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</si>
  <si>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</si>
  <si>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</si>
  <si>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</si>
  <si>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</si>
  <si>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</si>
  <si>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</si>
  <si>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</si>
  <si>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</si>
  <si>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</si>
  <si>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</si>
  <si>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</si>
  <si>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</si>
  <si>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</si>
  <si>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</si>
  <si>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</si>
  <si>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</si>
  <si>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</si>
  <si>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</si>
  <si>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</si>
  <si>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</si>
  <si>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</si>
  <si>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</si>
  <si>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</si>
  <si>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</si>
  <si>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</si>
  <si>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</si>
  <si>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</si>
  <si>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</si>
  <si>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</si>
  <si>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</si>
  <si>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</si>
  <si>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</si>
  <si>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</si>
  <si>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</si>
  <si>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</si>
  <si>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</si>
  <si>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</si>
  <si>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</si>
  <si>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</si>
  <si>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</si>
  <si>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</si>
  <si>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</si>
  <si>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</si>
  <si>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</si>
  <si>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</si>
  <si>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</si>
  <si>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</si>
  <si>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</si>
  <si>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</si>
  <si>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</si>
  <si>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</si>
  <si>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</si>
  <si>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</si>
  <si>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</si>
  <si>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</si>
  <si>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</si>
  <si>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</si>
  <si>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</si>
  <si>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</si>
  <si>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</si>
  <si>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</si>
  <si>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</si>
  <si>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</si>
  <si>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</si>
  <si>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L2 Die Rmt_T</t>
  </si>
  <si>
    <t>CJ Die Rmt_T</t>
  </si>
  <si>
    <t>PSU2 Efficiency</t>
  </si>
  <si>
    <t>L2 VDD 0V95</t>
  </si>
  <si>
    <t>0x8B</t>
  </si>
  <si>
    <t>POL VINT 1V0_ I0</t>
  </si>
  <si>
    <t>POL VINT 1V0_ I1</t>
  </si>
  <si>
    <t>Port_exp_0</t>
  </si>
  <si>
    <t>Port_exp_1</t>
  </si>
  <si>
    <t>S</t>
  </si>
  <si>
    <t>C Structure</t>
  </si>
  <si>
    <t>abc1</t>
  </si>
  <si>
    <t>abc2</t>
  </si>
  <si>
    <t>abc3</t>
  </si>
  <si>
    <t>abc4</t>
  </si>
  <si>
    <t>abc5</t>
  </si>
  <si>
    <t>def1</t>
  </si>
  <si>
    <t>def2</t>
  </si>
  <si>
    <t>def3</t>
  </si>
  <si>
    <t>def4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</si>
</sst>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13" xfId="0" applyBorder="1" applyAlignment="1">
      <alignment horizontal="center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2" borderId="0" xfId="0" applyFill="1" applyBorder="1"/>
    <xf numFmtId="0" fontId="0" fillId="0" borderId="19" xfId="0" applyBorder="1" applyAlignment="1">
      <alignment horizontal="left" vertical="center"/>
    </xf>
    <xf numFmtId="0" fontId="0" fillId="2" borderId="15" xfId="0" applyFill="1" applyBorder="1"/>
    <xf numFmtId="0" fontId="0" fillId="3" borderId="0" xfId="0" applyFill="1" applyBorder="1"/>
    <xf numFmtId="0" fontId="0" fillId="2" borderId="18" xfId="0" applyFill="1" applyBorder="1"/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5" borderId="0" xfId="2" applyAlignment="1">
      <alignment horizontal="left" vertical="center"/>
    </xf>
    <xf numFmtId="0" fontId="2" fillId="4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5" xfId="0" applyBorder="1"/>
    <xf numFmtId="0" fontId="0" fillId="0" borderId="0" xfId="0" applyBorder="1" applyAlignment="1">
      <alignment horizontal="left"/>
    </xf>
    <xf numFmtId="0" fontId="0" fillId="0" borderId="27" xfId="0" applyBorder="1"/>
    <xf numFmtId="0" fontId="0" fillId="0" borderId="16" xfId="0" applyBorder="1"/>
    <xf numFmtId="0" fontId="0" fillId="0" borderId="31" xfId="0" applyBorder="1"/>
    <xf numFmtId="0" fontId="0" fillId="0" borderId="39" xfId="0" applyBorder="1"/>
    <xf numFmtId="0" fontId="0" fillId="0" borderId="46" xfId="0" applyBorder="1"/>
    <xf numFmtId="0" fontId="0" fillId="0" borderId="47" xfId="0" applyBorder="1"/>
    <xf numFmtId="0" fontId="0" fillId="2" borderId="1" xfId="0" applyFill="1" applyBorder="1"/>
    <xf numFmtId="0" fontId="0" fillId="0" borderId="1" xfId="0" applyFill="1" applyBorder="1"/>
    <xf numFmtId="0" fontId="0" fillId="2" borderId="13" xfId="0" applyFill="1" applyBorder="1"/>
    <xf numFmtId="0" fontId="0" fillId="2" borderId="8" xfId="0" applyFill="1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1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37" xfId="0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31" xfId="0" applyBorder="1" applyAlignment="1">
      <alignment horizontal="right" vertical="center"/>
    </xf>
    <xf numFmtId="0" fontId="0" fillId="0" borderId="32" xfId="0" applyBorder="1" applyAlignment="1">
      <alignment horizontal="right" vertical="center"/>
    </xf>
    <xf numFmtId="0" fontId="0" fillId="0" borderId="33" xfId="0" applyBorder="1" applyAlignment="1">
      <alignment horizontal="right" vertic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" xfId="0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37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5" sqref="C5:C11"/>
    </sheetView>
  </sheetViews>
  <sheetFormatPr defaultRowHeight="14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CC11"/>
  <sheetViews>
    <sheetView workbookViewId="0">
      <selection activeCell="Z15" sqref="Z15"/>
    </sheetView>
  </sheetViews>
  <sheetFormatPr defaultColWidth="3.33203125" defaultRowHeight="14.4"/>
  <sheetData>
    <row r="1" spans="1:81" ht="15" thickBot="1">
      <c r="A1" s="30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  <c r="X1" s="31">
        <v>24</v>
      </c>
      <c r="Y1" s="31">
        <v>25</v>
      </c>
      <c r="Z1" s="31">
        <v>26</v>
      </c>
      <c r="AA1" s="31">
        <v>27</v>
      </c>
      <c r="AB1" s="31">
        <v>28</v>
      </c>
      <c r="AC1" s="31">
        <v>29</v>
      </c>
      <c r="AD1" s="31">
        <v>30</v>
      </c>
      <c r="AE1" s="31">
        <v>31</v>
      </c>
      <c r="AF1" s="31">
        <v>32</v>
      </c>
      <c r="AG1" s="31">
        <v>33</v>
      </c>
      <c r="AH1" s="31">
        <v>34</v>
      </c>
      <c r="AI1" s="31">
        <v>35</v>
      </c>
      <c r="AJ1" s="31">
        <v>36</v>
      </c>
      <c r="AK1" s="31">
        <v>37</v>
      </c>
      <c r="AL1" s="31">
        <v>38</v>
      </c>
      <c r="AM1" s="31">
        <v>39</v>
      </c>
      <c r="AN1" s="31">
        <v>40</v>
      </c>
      <c r="AO1" s="31">
        <v>41</v>
      </c>
      <c r="AP1" s="31">
        <v>42</v>
      </c>
      <c r="AQ1" s="31">
        <v>43</v>
      </c>
      <c r="AR1" s="31">
        <v>44</v>
      </c>
      <c r="AS1" s="31">
        <v>45</v>
      </c>
      <c r="AT1" s="31">
        <v>46</v>
      </c>
      <c r="AU1" s="31">
        <v>47</v>
      </c>
      <c r="AV1" s="31">
        <v>48</v>
      </c>
      <c r="AW1" s="31">
        <v>49</v>
      </c>
      <c r="AX1" s="31">
        <v>50</v>
      </c>
      <c r="AY1" s="31">
        <v>51</v>
      </c>
      <c r="AZ1" s="31">
        <v>52</v>
      </c>
      <c r="BA1" s="32">
        <v>53</v>
      </c>
      <c r="BB1" s="32">
        <v>54</v>
      </c>
      <c r="BC1" s="32">
        <v>55</v>
      </c>
      <c r="BD1" s="32">
        <v>56</v>
      </c>
      <c r="BE1" s="32">
        <v>57</v>
      </c>
      <c r="BF1" s="32">
        <v>58</v>
      </c>
      <c r="BG1" s="32">
        <v>59</v>
      </c>
      <c r="BH1" s="32">
        <v>60</v>
      </c>
      <c r="BI1" s="32">
        <v>61</v>
      </c>
      <c r="BJ1" s="32">
        <v>62</v>
      </c>
      <c r="BK1" s="32">
        <v>63</v>
      </c>
      <c r="BL1" s="32">
        <v>64</v>
      </c>
      <c r="BM1" s="32">
        <v>65</v>
      </c>
      <c r="BN1" s="32">
        <v>66</v>
      </c>
      <c r="BO1" s="32">
        <v>67</v>
      </c>
      <c r="BP1" s="32">
        <v>68</v>
      </c>
      <c r="BQ1" s="32">
        <v>69</v>
      </c>
      <c r="BR1" s="32">
        <v>70</v>
      </c>
      <c r="BS1" s="32">
        <v>71</v>
      </c>
      <c r="BT1" s="32">
        <v>72</v>
      </c>
      <c r="BU1" s="31">
        <v>73</v>
      </c>
      <c r="BV1" s="31">
        <v>74</v>
      </c>
      <c r="BW1" s="31">
        <v>75</v>
      </c>
      <c r="BX1" s="31">
        <v>76</v>
      </c>
      <c r="BY1" s="31">
        <v>77</v>
      </c>
      <c r="BZ1" s="31">
        <v>78</v>
      </c>
      <c r="CA1" s="31">
        <v>79</v>
      </c>
      <c r="CB1" s="33">
        <v>80</v>
      </c>
    </row>
    <row r="2" spans="1:81" ht="15" thickBot="1">
      <c r="A2" s="17" t="s">
        <v>3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2" t="s">
        <v>2</v>
      </c>
      <c r="R2" s="4"/>
      <c r="S2" s="100" t="s">
        <v>58</v>
      </c>
      <c r="T2" s="101"/>
      <c r="U2" s="101"/>
      <c r="V2" s="101"/>
      <c r="W2" s="101"/>
      <c r="X2" s="102"/>
      <c r="Y2" s="3" t="s">
        <v>4</v>
      </c>
      <c r="Z2" s="13" t="s">
        <v>2</v>
      </c>
      <c r="AA2" s="14"/>
      <c r="AB2" s="17" t="s">
        <v>3</v>
      </c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2" t="s">
        <v>2</v>
      </c>
      <c r="AS2" s="4"/>
      <c r="AT2" s="100" t="s">
        <v>58</v>
      </c>
      <c r="AU2" s="101"/>
      <c r="AV2" s="101"/>
      <c r="AW2" s="101"/>
      <c r="AX2" s="101"/>
      <c r="AY2" s="102"/>
      <c r="AZ2" s="3" t="s">
        <v>4</v>
      </c>
      <c r="BA2" s="27" t="s">
        <v>2</v>
      </c>
      <c r="BB2" s="28"/>
      <c r="BC2" s="27" t="s">
        <v>3</v>
      </c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7" t="s">
        <v>2</v>
      </c>
      <c r="BT2" s="29"/>
      <c r="BU2" s="100" t="s">
        <v>58</v>
      </c>
      <c r="BV2" s="101"/>
      <c r="BW2" s="101"/>
      <c r="BX2" s="101"/>
      <c r="BY2" s="101"/>
      <c r="BZ2" s="102"/>
      <c r="CA2" s="19" t="s">
        <v>4</v>
      </c>
      <c r="CB2" s="21" t="s">
        <v>2</v>
      </c>
      <c r="CC2" s="20"/>
    </row>
    <row r="3" spans="1:81" ht="15" thickBot="1">
      <c r="A3" s="34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30"/>
      <c r="T3" s="31"/>
      <c r="U3" s="31"/>
      <c r="V3" s="31"/>
      <c r="W3" s="31"/>
      <c r="X3" s="3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40"/>
      <c r="AX3" s="23"/>
      <c r="AY3" s="23"/>
      <c r="AZ3" s="23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23"/>
      <c r="BV3" s="23"/>
      <c r="BW3" s="23"/>
      <c r="BX3" s="40"/>
      <c r="BY3" s="23"/>
      <c r="BZ3" s="23"/>
      <c r="CA3" s="23"/>
      <c r="CB3" s="36"/>
    </row>
    <row r="4" spans="1:81">
      <c r="A4" s="34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6">
        <v>0</v>
      </c>
      <c r="T4" s="7"/>
      <c r="U4" s="42" t="s">
        <v>10</v>
      </c>
      <c r="V4" s="42"/>
      <c r="W4" s="42"/>
      <c r="X4" s="42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23"/>
      <c r="BV4" s="23"/>
      <c r="BW4" s="23"/>
      <c r="BX4" s="23"/>
      <c r="BY4" s="23"/>
      <c r="BZ4" s="23"/>
      <c r="CA4" s="23"/>
      <c r="CB4" s="36"/>
    </row>
    <row r="5" spans="1:81">
      <c r="A5" s="34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10">
        <v>1</v>
      </c>
      <c r="T5" s="1"/>
      <c r="U5" s="41" t="s">
        <v>9</v>
      </c>
      <c r="V5" s="41"/>
      <c r="W5" s="41"/>
      <c r="X5" s="41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23"/>
      <c r="BV5" s="23"/>
      <c r="BW5" s="23"/>
      <c r="BX5" s="23"/>
      <c r="BY5" s="23"/>
      <c r="BZ5" s="23"/>
      <c r="CA5" s="23"/>
      <c r="CB5" s="36"/>
    </row>
    <row r="6" spans="1:81">
      <c r="A6" s="34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10">
        <v>2</v>
      </c>
      <c r="T6" s="1"/>
      <c r="U6" s="41" t="s">
        <v>315</v>
      </c>
      <c r="V6" s="41"/>
      <c r="W6" s="41"/>
      <c r="X6" s="41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23"/>
      <c r="BV6" s="23"/>
      <c r="BW6" s="23"/>
      <c r="BX6" s="23"/>
      <c r="BY6" s="23"/>
      <c r="BZ6" s="23"/>
      <c r="CA6" s="23"/>
      <c r="CB6" s="36"/>
    </row>
    <row r="7" spans="1:81">
      <c r="A7" s="34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10">
        <v>3</v>
      </c>
      <c r="T7" s="1"/>
      <c r="U7" s="41" t="s">
        <v>11</v>
      </c>
      <c r="V7" s="41"/>
      <c r="W7" s="41"/>
      <c r="X7" s="41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23"/>
      <c r="BV7" s="23"/>
      <c r="BW7" s="23"/>
      <c r="BX7" s="23"/>
      <c r="BY7" s="23"/>
      <c r="BZ7" s="23"/>
      <c r="CA7" s="23"/>
      <c r="CB7" s="36"/>
    </row>
    <row r="8" spans="1:81" ht="15" thickBot="1">
      <c r="A8" s="34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44">
        <v>4</v>
      </c>
      <c r="T8" s="12"/>
      <c r="U8" s="12"/>
      <c r="V8" s="12"/>
      <c r="W8" s="12"/>
      <c r="X8" s="12"/>
      <c r="Y8" s="103" t="s">
        <v>113</v>
      </c>
      <c r="Z8" s="103"/>
      <c r="AA8" s="103"/>
      <c r="AB8" s="103"/>
      <c r="AC8" s="103"/>
      <c r="AD8" s="104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23"/>
      <c r="BV8" s="23"/>
      <c r="BW8" s="23"/>
      <c r="BX8" s="23"/>
      <c r="BY8" s="23"/>
      <c r="BZ8" s="23"/>
      <c r="CA8" s="23"/>
      <c r="CB8" s="36"/>
    </row>
    <row r="9" spans="1:81" ht="15" thickBot="1">
      <c r="A9" s="34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23"/>
      <c r="BV9" s="23"/>
      <c r="BW9" s="23"/>
      <c r="BX9" s="23"/>
      <c r="BY9" s="23"/>
      <c r="BZ9" s="23"/>
      <c r="CA9" s="23"/>
      <c r="CB9" s="36"/>
    </row>
    <row r="10" spans="1:81" ht="15" thickBot="1">
      <c r="A10" s="34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100" t="s">
        <v>7</v>
      </c>
      <c r="T10" s="101"/>
      <c r="U10" s="101"/>
      <c r="V10" s="101"/>
      <c r="W10" s="101"/>
      <c r="X10" s="102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100" t="s">
        <v>7</v>
      </c>
      <c r="AU10" s="101"/>
      <c r="AV10" s="101"/>
      <c r="AW10" s="101"/>
      <c r="AX10" s="101"/>
      <c r="AY10" s="102"/>
      <c r="AZ10" s="23"/>
      <c r="BA10" s="35"/>
      <c r="BB10" s="35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100" t="s">
        <v>7</v>
      </c>
      <c r="BV10" s="101"/>
      <c r="BW10" s="101"/>
      <c r="BX10" s="101"/>
      <c r="BY10" s="101"/>
      <c r="BZ10" s="102"/>
      <c r="CA10" s="23"/>
      <c r="CB10" s="36"/>
    </row>
    <row r="11" spans="1:81" ht="24.6" thickBot="1">
      <c r="A11" s="100" t="s">
        <v>5</v>
      </c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2"/>
      <c r="Q11" s="37"/>
      <c r="R11" s="37"/>
      <c r="S11" s="100" t="s">
        <v>6</v>
      </c>
      <c r="T11" s="101"/>
      <c r="U11" s="101"/>
      <c r="V11" s="101"/>
      <c r="W11" s="101"/>
      <c r="X11" s="102"/>
      <c r="Y11" s="24" t="s">
        <v>4</v>
      </c>
      <c r="Z11" s="37"/>
      <c r="AA11" s="37"/>
      <c r="AB11" s="100" t="s">
        <v>5</v>
      </c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/>
      <c r="AR11" s="37"/>
      <c r="AS11" s="37"/>
      <c r="AT11" s="100" t="s">
        <v>6</v>
      </c>
      <c r="AU11" s="101"/>
      <c r="AV11" s="101"/>
      <c r="AW11" s="101"/>
      <c r="AX11" s="101"/>
      <c r="AY11" s="102"/>
      <c r="AZ11" s="24" t="s">
        <v>4</v>
      </c>
      <c r="BA11" s="38"/>
      <c r="BB11" s="38"/>
      <c r="BC11" s="100" t="s">
        <v>5</v>
      </c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2"/>
      <c r="BS11" s="37"/>
      <c r="BT11" s="37"/>
      <c r="BU11" s="100" t="s">
        <v>6</v>
      </c>
      <c r="BV11" s="101"/>
      <c r="BW11" s="101"/>
      <c r="BX11" s="101"/>
      <c r="BY11" s="101"/>
      <c r="BZ11" s="102"/>
      <c r="CA11" s="24" t="s">
        <v>4</v>
      </c>
      <c r="CB11" s="39"/>
    </row>
  </sheetData>
  <mergeCells count="13">
    <mergeCell ref="A11:P11"/>
    <mergeCell ref="S11:X11"/>
    <mergeCell ref="S10:X10"/>
    <mergeCell ref="Y8:AD8"/>
    <mergeCell ref="BC11:BR11"/>
    <mergeCell ref="AT2:AY2"/>
    <mergeCell ref="S2:X2"/>
    <mergeCell ref="BU2:BZ2"/>
    <mergeCell ref="AT10:AY10"/>
    <mergeCell ref="AB11:AQ11"/>
    <mergeCell ref="AT11:AY11"/>
    <mergeCell ref="BU10:BZ10"/>
    <mergeCell ref="BU11:BZ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DQ59"/>
  <sheetViews>
    <sheetView zoomScale="70" zoomScaleNormal="70" workbookViewId="0">
      <selection activeCell="BA39" sqref="BA39"/>
    </sheetView>
  </sheetViews>
  <sheetFormatPr defaultRowHeight="14.4"/>
  <cols>
    <col min="1" max="1" width="3.6640625" customWidth="1"/>
    <col min="2" max="2" width="17.88671875" customWidth="1"/>
    <col min="3" max="19" width="3" customWidth="1"/>
    <col min="20" max="20" width="14.44140625" customWidth="1"/>
    <col min="21" max="37" width="3" customWidth="1"/>
    <col min="38" max="38" width="14.109375" customWidth="1"/>
    <col min="39" max="54" width="3" customWidth="1"/>
    <col min="55" max="61" width="3" style="26" customWidth="1"/>
    <col min="62" max="62" width="63.6640625" style="26" bestFit="1" customWidth="1"/>
    <col min="63" max="63" width="66.5546875" style="26" bestFit="1" customWidth="1"/>
    <col min="64" max="64" width="61.109375" style="26" bestFit="1" customWidth="1"/>
    <col min="65" max="74" width="3" style="26" customWidth="1"/>
    <col min="75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4">
      <c r="CH1" s="25"/>
      <c r="CI1" s="26"/>
      <c r="CJ1" s="25" t="s">
        <v>60</v>
      </c>
      <c r="CK1" s="26" t="s">
        <v>68</v>
      </c>
      <c r="CL1" s="26" t="s">
        <v>62</v>
      </c>
      <c r="CM1" s="26"/>
      <c r="CN1" s="26"/>
      <c r="CO1" s="26"/>
    </row>
    <row r="2" spans="1:104">
      <c r="CH2" s="25"/>
      <c r="CI2" s="26"/>
      <c r="CJ2" s="25" t="s">
        <v>60</v>
      </c>
      <c r="CK2" s="26" t="s">
        <v>69</v>
      </c>
      <c r="CL2" s="26" t="s">
        <v>64</v>
      </c>
      <c r="CM2" s="26"/>
      <c r="CN2" s="26"/>
      <c r="CO2" s="26"/>
    </row>
    <row r="3" spans="1:104">
      <c r="CH3" s="25"/>
      <c r="CI3" s="26"/>
      <c r="CJ3" t="s">
        <v>12</v>
      </c>
      <c r="CK3" s="26" t="s">
        <v>13</v>
      </c>
      <c r="CL3" s="26"/>
      <c r="CM3" s="26"/>
      <c r="CN3" s="26"/>
      <c r="CO3" s="26"/>
    </row>
    <row r="4" spans="1:104">
      <c r="CH4" s="25"/>
      <c r="CI4" s="26"/>
      <c r="CK4" s="26"/>
      <c r="CL4" s="26"/>
      <c r="CM4" s="26"/>
      <c r="CN4" s="26"/>
      <c r="CO4" s="26"/>
    </row>
    <row r="5" spans="1:104">
      <c r="CH5" s="25"/>
      <c r="CJ5" s="26"/>
    </row>
    <row r="6" spans="1:104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>
        <v>2</v>
      </c>
      <c r="R6" s="15"/>
      <c r="U6" s="22"/>
      <c r="V6" s="22"/>
      <c r="W6" s="22"/>
      <c r="X6" s="22"/>
      <c r="Y6" s="22"/>
      <c r="Z6" s="22"/>
      <c r="BT6"/>
      <c r="BU6"/>
      <c r="BV6"/>
    </row>
    <row r="7" spans="1:104" ht="15" thickBot="1">
      <c r="B7" t="s">
        <v>122</v>
      </c>
      <c r="C7">
        <v>1</v>
      </c>
      <c r="H7">
        <v>16</v>
      </c>
      <c r="J7">
        <v>19</v>
      </c>
      <c r="M7">
        <v>24</v>
      </c>
      <c r="O7" t="s">
        <v>7</v>
      </c>
      <c r="R7">
        <v>25</v>
      </c>
      <c r="T7" t="s">
        <v>122</v>
      </c>
      <c r="U7">
        <v>28</v>
      </c>
      <c r="Z7">
        <v>43</v>
      </c>
      <c r="AB7">
        <v>46</v>
      </c>
      <c r="AE7">
        <v>51</v>
      </c>
      <c r="AG7" t="s">
        <v>7</v>
      </c>
      <c r="AJ7">
        <v>52</v>
      </c>
      <c r="AL7" t="s">
        <v>122</v>
      </c>
      <c r="AM7">
        <v>55</v>
      </c>
      <c r="AR7">
        <v>70</v>
      </c>
      <c r="AT7">
        <v>73</v>
      </c>
      <c r="AW7">
        <v>78</v>
      </c>
      <c r="AY7" t="s">
        <v>7</v>
      </c>
      <c r="BB7">
        <v>79</v>
      </c>
      <c r="BJ7" s="26" t="s">
        <v>291</v>
      </c>
      <c r="BL7"/>
      <c r="BM7"/>
      <c r="BN7"/>
      <c r="BV7"/>
    </row>
    <row r="8" spans="1:104" ht="14.4" customHeight="1" thickBot="1">
      <c r="A8">
        <v>1</v>
      </c>
      <c r="B8" s="30" t="str">
        <f>SUBSTITUTE(PROPER(C8)," ","")</f>
        <v>PsVccint1V0</v>
      </c>
      <c r="C8" s="120" t="s">
        <v>16</v>
      </c>
      <c r="D8" s="121"/>
      <c r="E8" s="121"/>
      <c r="F8" s="121"/>
      <c r="G8" s="121"/>
      <c r="H8" s="122"/>
      <c r="I8" s="31"/>
      <c r="J8" s="108">
        <v>0</v>
      </c>
      <c r="K8" s="109"/>
      <c r="L8" s="109"/>
      <c r="M8" s="110"/>
      <c r="N8" s="31"/>
      <c r="O8" s="52">
        <v>1</v>
      </c>
      <c r="P8" s="53"/>
      <c r="Q8" s="31"/>
      <c r="R8" s="9" t="s">
        <v>14</v>
      </c>
      <c r="S8" s="31"/>
      <c r="T8" s="30" t="str">
        <f t="shared" ref="T8:T17" si="0">SUBSTITUTE(PROPER(U8)," ","")</f>
        <v>CpSw2V5</v>
      </c>
      <c r="U8" s="121" t="s">
        <v>54</v>
      </c>
      <c r="V8" s="121"/>
      <c r="W8" s="121"/>
      <c r="X8" s="121"/>
      <c r="Y8" s="121"/>
      <c r="Z8" s="121"/>
      <c r="AA8" s="31"/>
      <c r="AB8" s="108">
        <v>0</v>
      </c>
      <c r="AC8" s="109"/>
      <c r="AD8" s="109"/>
      <c r="AE8" s="110"/>
      <c r="AF8" s="31"/>
      <c r="AG8" s="52">
        <v>0</v>
      </c>
      <c r="AH8" s="53"/>
      <c r="AI8" s="31"/>
      <c r="AJ8" s="9" t="s">
        <v>14</v>
      </c>
      <c r="AK8" s="31"/>
      <c r="AL8" s="30" t="str">
        <f>SUBSTITUTE(PROPER(AM8)," ","")</f>
        <v>PolMgt1V0_V</v>
      </c>
      <c r="AM8" s="126" t="s">
        <v>264</v>
      </c>
      <c r="AN8" s="126"/>
      <c r="AO8" s="126"/>
      <c r="AP8" s="126"/>
      <c r="AQ8" s="126"/>
      <c r="AR8" s="126"/>
      <c r="AS8" s="31"/>
      <c r="AT8" s="108">
        <v>0</v>
      </c>
      <c r="AU8" s="109"/>
      <c r="AV8" s="109"/>
      <c r="AW8" s="110"/>
      <c r="AX8" s="31"/>
      <c r="AY8" s="52">
        <v>1</v>
      </c>
      <c r="AZ8" s="53"/>
      <c r="BA8" s="31"/>
      <c r="BB8" s="9" t="s">
        <v>14</v>
      </c>
      <c r="BC8" s="32"/>
      <c r="BD8" s="32">
        <f>LEN(C14)</f>
        <v>12</v>
      </c>
      <c r="BE8" s="32">
        <f t="shared" ref="BE8:BE16" si="1">LEN(U9)</f>
        <v>7</v>
      </c>
      <c r="BF8" s="58">
        <f>LEN(AM8)</f>
        <v>13</v>
      </c>
      <c r="BJ8" s="35" t="str">
        <f>("{"&amp;B8&amp;", "&amp;""""&amp;C8&amp;""""&amp;", "&amp;A8&amp;", "&amp;$C$7&amp;", "&amp;0&amp;", "&amp;O8&amp;", "&amp;A8&amp;", "&amp;$J$7&amp;","&amp;""""&amp;R8&amp;""""&amp;"},")</f>
        <v>{PsVccint1V0, "PS Vccint 1V0", 1, 1, 0, 1, 1, 19,"V"},</v>
      </c>
      <c r="BK8" s="35" t="str">
        <f t="shared" ref="BK8:BK31" si="2">("{"&amp;T8&amp;", "&amp;""""&amp;U8&amp;""""&amp;", "&amp;A8&amp;", "&amp;$U$7&amp;", "&amp;0&amp;", "&amp;AG8&amp;", "&amp;A8&amp;", "&amp;$AB$7&amp;","&amp;""""&amp;AJ8&amp;""""&amp;"},")</f>
        <v>{CpSw2V5, "CP SW 2V5", 1, 28, 0, 0, 1, 46,"V"},</v>
      </c>
      <c r="BL8" s="35" t="str">
        <f t="shared" ref="BL8:BL31" si="3">("{"&amp;AL8&amp;", "&amp;""""&amp;AM8&amp;""""&amp;", "&amp;A8&amp;", "&amp;$AM$7&amp;", "&amp;0&amp;", "&amp;AY8&amp;", "&amp;A8&amp;", "&amp;$AT$7&amp;","&amp;""""&amp;BB8&amp;""""&amp;"},")</f>
        <v>{PolMgt1V0_V, "POL MGT 1V0_V", 1, 55, 0, 1, 1, 73,"V"},</v>
      </c>
      <c r="BM8" s="23"/>
      <c r="BN8" s="35"/>
      <c r="BO8" s="35"/>
      <c r="BP8" s="35"/>
      <c r="BQ8" s="35"/>
      <c r="BR8" s="35"/>
      <c r="BS8" s="35"/>
      <c r="BT8" s="35"/>
      <c r="BU8" s="35"/>
      <c r="BV8" s="35"/>
      <c r="BW8" s="23"/>
      <c r="BX8" s="23"/>
      <c r="BY8" s="23"/>
      <c r="BZ8" s="35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</row>
    <row r="9" spans="1:104" ht="15" thickBot="1">
      <c r="A9">
        <v>2</v>
      </c>
      <c r="B9" s="34" t="str">
        <f t="shared" ref="B9:B30" si="4">SUBSTITUTE(PROPER(C9)," ","")</f>
        <v>PsVintMin1V0</v>
      </c>
      <c r="C9" s="112" t="s">
        <v>42</v>
      </c>
      <c r="D9" s="111"/>
      <c r="E9" s="111"/>
      <c r="F9" s="111"/>
      <c r="G9" s="111"/>
      <c r="H9" s="113"/>
      <c r="I9" s="23"/>
      <c r="J9" s="105">
        <v>0</v>
      </c>
      <c r="K9" s="106"/>
      <c r="L9" s="106"/>
      <c r="M9" s="107"/>
      <c r="N9" s="23"/>
      <c r="O9" s="52">
        <v>1</v>
      </c>
      <c r="P9" s="22"/>
      <c r="Q9" s="23"/>
      <c r="R9" s="11" t="s">
        <v>14</v>
      </c>
      <c r="S9" s="23"/>
      <c r="T9" s="34" t="str">
        <f t="shared" si="0"/>
        <v>Brd3V3</v>
      </c>
      <c r="U9" s="111" t="s">
        <v>30</v>
      </c>
      <c r="V9" s="111"/>
      <c r="W9" s="111"/>
      <c r="X9" s="111"/>
      <c r="Y9" s="111"/>
      <c r="Z9" s="111"/>
      <c r="AA9" s="23"/>
      <c r="AB9" s="105">
        <v>0</v>
      </c>
      <c r="AC9" s="106"/>
      <c r="AD9" s="106"/>
      <c r="AE9" s="107"/>
      <c r="AF9" s="23"/>
      <c r="AG9" s="16">
        <v>0</v>
      </c>
      <c r="AH9" s="22"/>
      <c r="AI9" s="23"/>
      <c r="AJ9" s="11" t="s">
        <v>14</v>
      </c>
      <c r="AK9" s="23"/>
      <c r="AL9" s="34" t="str">
        <f t="shared" ref="AL9:AL31" si="5">SUBSTITUTE(PROPER(AM9)," ","")</f>
        <v>PolMgt1V0_I</v>
      </c>
      <c r="AM9" s="130" t="s">
        <v>259</v>
      </c>
      <c r="AN9" s="130"/>
      <c r="AO9" s="130"/>
      <c r="AP9" s="130"/>
      <c r="AQ9" s="130"/>
      <c r="AR9" s="130"/>
      <c r="AS9" s="23"/>
      <c r="AT9" s="105">
        <v>0</v>
      </c>
      <c r="AU9" s="106"/>
      <c r="AV9" s="106"/>
      <c r="AW9" s="107"/>
      <c r="AX9" s="23"/>
      <c r="AY9" s="16">
        <v>0</v>
      </c>
      <c r="AZ9" s="22"/>
      <c r="BA9" s="23"/>
      <c r="BB9" s="11" t="s">
        <v>0</v>
      </c>
      <c r="BC9" s="35"/>
      <c r="BD9" s="35">
        <f>LEN(C15)</f>
        <v>16</v>
      </c>
      <c r="BE9" s="35">
        <f t="shared" si="1"/>
        <v>10</v>
      </c>
      <c r="BF9" s="59">
        <f t="shared" ref="BF9:BF31" si="6">LEN(AM9)</f>
        <v>13</v>
      </c>
      <c r="BJ9" s="35" t="str">
        <f>("{"&amp;B9&amp;", "&amp;""""&amp;C9&amp;""""&amp;", "&amp;A9&amp;", "&amp;$C$7&amp;", "&amp;0&amp;", "&amp;O9&amp;", "&amp;A9&amp;", "&amp;$J$7&amp;","&amp;""""&amp;R9&amp;""""&amp;"},")</f>
        <v>{PsVintMin1V0, "PS Vint min 1V0", 2, 1, 0, 1, 2, 19,"V"},</v>
      </c>
      <c r="BK9" s="35" t="str">
        <f t="shared" si="2"/>
        <v>{Brd3V3, "Brd 3V3", 2, 28, 0, 0, 2, 46,"V"},</v>
      </c>
      <c r="BL9" s="35" t="str">
        <f t="shared" si="3"/>
        <v>{PolMgt1V0_I, "POL MGT 1V0_I", 2, 55, 0, 0, 2, 73,"A"},</v>
      </c>
      <c r="BM9" s="23"/>
      <c r="BN9" s="35"/>
      <c r="BO9" s="35"/>
      <c r="BP9" s="35"/>
      <c r="BQ9" s="35"/>
      <c r="BR9" s="35"/>
      <c r="BS9" s="35"/>
      <c r="BT9" s="35"/>
      <c r="BU9" s="35"/>
      <c r="BV9" s="35"/>
      <c r="BW9" s="23"/>
      <c r="BX9" s="23"/>
      <c r="BY9" s="23"/>
      <c r="BZ9" s="35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</row>
    <row r="10" spans="1:104" ht="15" thickBot="1">
      <c r="A10">
        <v>3</v>
      </c>
      <c r="B10" s="34" t="str">
        <f t="shared" si="4"/>
        <v>PsVintMax1V0</v>
      </c>
      <c r="C10" s="117" t="s">
        <v>43</v>
      </c>
      <c r="D10" s="118"/>
      <c r="E10" s="118"/>
      <c r="F10" s="118"/>
      <c r="G10" s="118"/>
      <c r="H10" s="119"/>
      <c r="I10" s="23"/>
      <c r="J10" s="105">
        <v>0</v>
      </c>
      <c r="K10" s="106"/>
      <c r="L10" s="106"/>
      <c r="M10" s="107"/>
      <c r="N10" s="23"/>
      <c r="O10" s="52">
        <v>1</v>
      </c>
      <c r="P10" s="22"/>
      <c r="Q10" s="23"/>
      <c r="R10" s="11" t="s">
        <v>14</v>
      </c>
      <c r="S10" s="23"/>
      <c r="T10" s="34" t="str">
        <f t="shared" si="0"/>
        <v>Pol3V3_V</v>
      </c>
      <c r="U10" s="111" t="s">
        <v>255</v>
      </c>
      <c r="V10" s="111"/>
      <c r="W10" s="111"/>
      <c r="X10" s="111"/>
      <c r="Y10" s="111"/>
      <c r="Z10" s="111"/>
      <c r="AA10" s="23"/>
      <c r="AB10" s="105">
        <v>0</v>
      </c>
      <c r="AC10" s="106"/>
      <c r="AD10" s="106"/>
      <c r="AE10" s="107"/>
      <c r="AF10" s="23"/>
      <c r="AG10" s="16">
        <v>0</v>
      </c>
      <c r="AH10" s="22"/>
      <c r="AI10" s="23"/>
      <c r="AJ10" s="11" t="s">
        <v>14</v>
      </c>
      <c r="AK10" s="23"/>
      <c r="AL10" s="34" t="str">
        <f t="shared" si="5"/>
        <v>CjMgt1V2</v>
      </c>
      <c r="AM10" s="130" t="s">
        <v>49</v>
      </c>
      <c r="AN10" s="130"/>
      <c r="AO10" s="130"/>
      <c r="AP10" s="130"/>
      <c r="AQ10" s="130"/>
      <c r="AR10" s="130"/>
      <c r="AS10" s="23"/>
      <c r="AT10" s="105">
        <v>0</v>
      </c>
      <c r="AU10" s="106"/>
      <c r="AV10" s="106"/>
      <c r="AW10" s="107"/>
      <c r="AX10" s="23"/>
      <c r="AY10" s="16">
        <v>0</v>
      </c>
      <c r="AZ10" s="22"/>
      <c r="BA10" s="23"/>
      <c r="BB10" s="11" t="s">
        <v>14</v>
      </c>
      <c r="BC10" s="35"/>
      <c r="BD10" s="35">
        <f>LEN(C16)</f>
        <v>16</v>
      </c>
      <c r="BE10" s="35">
        <f t="shared" si="1"/>
        <v>10</v>
      </c>
      <c r="BF10" s="59">
        <f t="shared" si="6"/>
        <v>10</v>
      </c>
      <c r="BJ10" s="35" t="str">
        <f t="shared" ref="BJ10:BJ31" si="7">("{"&amp;B10&amp;", "&amp;""""&amp;C10&amp;""""&amp;", "&amp;A10&amp;", "&amp;$C$7&amp;", "&amp;0&amp;", "&amp;O10&amp;", "&amp;A10&amp;", "&amp;$J$7&amp;","&amp;""""&amp;R10&amp;""""&amp;"},")</f>
        <v>{PsVintMax1V0, "PS Vint max 1V0", 3, 1, 0, 1, 3, 19,"V"},</v>
      </c>
      <c r="BK10" s="35" t="str">
        <f t="shared" si="2"/>
        <v>{Pol3V3_V, "POL 3V3_ V", 3, 28, 0, 0, 3, 46,"V"},</v>
      </c>
      <c r="BL10" s="35" t="str">
        <f t="shared" si="3"/>
        <v>{CjMgt1V2, "CJ MGT 1V2", 3, 55, 0, 0, 3, 73,"V"},</v>
      </c>
      <c r="BM10" s="23"/>
      <c r="BN10" s="35"/>
      <c r="BO10" s="35"/>
      <c r="BP10" s="35"/>
      <c r="BQ10" s="35"/>
      <c r="BR10" s="35"/>
      <c r="BS10" s="35"/>
      <c r="BT10" s="35"/>
      <c r="BU10" s="35"/>
      <c r="BV10" s="35"/>
      <c r="BW10" s="23"/>
      <c r="BX10" s="23"/>
      <c r="BY10" s="23"/>
      <c r="BZ10" s="35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</row>
    <row r="11" spans="1:104" ht="15" thickBot="1">
      <c r="A11">
        <v>4</v>
      </c>
      <c r="B11" s="34" t="str">
        <f t="shared" si="4"/>
        <v>PsVccaux1V8</v>
      </c>
      <c r="C11" s="120" t="s">
        <v>18</v>
      </c>
      <c r="D11" s="121"/>
      <c r="E11" s="121"/>
      <c r="F11" s="121"/>
      <c r="G11" s="121"/>
      <c r="H11" s="122"/>
      <c r="I11" s="23"/>
      <c r="J11" s="105">
        <v>0</v>
      </c>
      <c r="K11" s="106"/>
      <c r="L11" s="106"/>
      <c r="M11" s="107"/>
      <c r="N11" s="23"/>
      <c r="O11" s="52">
        <v>1</v>
      </c>
      <c r="P11" s="22"/>
      <c r="Q11" s="23"/>
      <c r="R11" s="11" t="s">
        <v>14</v>
      </c>
      <c r="S11" s="23"/>
      <c r="T11" s="34" t="str">
        <f t="shared" si="0"/>
        <v>Pol3V3_I</v>
      </c>
      <c r="U11" s="111" t="s">
        <v>256</v>
      </c>
      <c r="V11" s="111"/>
      <c r="W11" s="111"/>
      <c r="X11" s="111"/>
      <c r="Y11" s="111"/>
      <c r="Z11" s="111"/>
      <c r="AA11" s="23"/>
      <c r="AB11" s="105">
        <v>0</v>
      </c>
      <c r="AC11" s="106"/>
      <c r="AD11" s="106"/>
      <c r="AE11" s="107"/>
      <c r="AF11" s="23"/>
      <c r="AG11" s="16">
        <v>0</v>
      </c>
      <c r="AH11" s="22"/>
      <c r="AI11" s="23"/>
      <c r="AJ11" s="11" t="s">
        <v>0</v>
      </c>
      <c r="AK11" s="23"/>
      <c r="AL11" s="34" t="str">
        <f t="shared" si="5"/>
        <v>PolMgt1V2_V</v>
      </c>
      <c r="AM11" s="130" t="s">
        <v>260</v>
      </c>
      <c r="AN11" s="130"/>
      <c r="AO11" s="130"/>
      <c r="AP11" s="130"/>
      <c r="AQ11" s="130"/>
      <c r="AR11" s="130"/>
      <c r="AS11" s="23"/>
      <c r="AT11" s="105">
        <v>0</v>
      </c>
      <c r="AU11" s="106"/>
      <c r="AV11" s="106"/>
      <c r="AW11" s="107"/>
      <c r="AX11" s="23"/>
      <c r="AY11" s="16">
        <v>0</v>
      </c>
      <c r="AZ11" s="22"/>
      <c r="BA11" s="23"/>
      <c r="BB11" s="11" t="s">
        <v>14</v>
      </c>
      <c r="BC11" s="35"/>
      <c r="BD11" s="35">
        <f t="shared" ref="BD11:BD16" si="8">LEN(C8)</f>
        <v>13</v>
      </c>
      <c r="BE11" s="35">
        <f t="shared" si="1"/>
        <v>9</v>
      </c>
      <c r="BF11" s="59">
        <f t="shared" si="6"/>
        <v>14</v>
      </c>
      <c r="BJ11" s="35" t="str">
        <f t="shared" si="7"/>
        <v>{PsVccaux1V8, "PS Vccaux 1V8", 4, 1, 0, 1, 4, 19,"V"},</v>
      </c>
      <c r="BK11" s="35" t="str">
        <f t="shared" si="2"/>
        <v>{Pol3V3_I, "POL 3V3_ I", 4, 28, 0, 0, 4, 46,"A"},</v>
      </c>
      <c r="BL11" s="35" t="str">
        <f t="shared" si="3"/>
        <v>{PolMgt1V2_V, "POL MGT 1V2_V ", 4, 55, 0, 0, 4, 73,"V"},</v>
      </c>
      <c r="BM11" s="23"/>
      <c r="BN11" s="35"/>
      <c r="BO11" s="35"/>
      <c r="BP11" s="35"/>
      <c r="BQ11" s="35"/>
      <c r="BR11" s="35"/>
      <c r="BS11" s="35"/>
      <c r="BT11" s="35"/>
      <c r="BU11" s="35"/>
      <c r="BV11" s="35"/>
      <c r="BW11" s="23"/>
      <c r="BX11" s="23"/>
      <c r="BY11" s="23"/>
      <c r="BZ11" s="35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</row>
    <row r="12" spans="1:104" ht="15" thickBot="1">
      <c r="A12">
        <v>5</v>
      </c>
      <c r="B12" s="34" t="str">
        <f t="shared" si="4"/>
        <v>PsVauxMin1V8</v>
      </c>
      <c r="C12" s="112" t="s">
        <v>44</v>
      </c>
      <c r="D12" s="111"/>
      <c r="E12" s="111"/>
      <c r="F12" s="111"/>
      <c r="G12" s="111"/>
      <c r="H12" s="113"/>
      <c r="I12" s="23"/>
      <c r="J12" s="105">
        <v>0</v>
      </c>
      <c r="K12" s="106"/>
      <c r="L12" s="106"/>
      <c r="M12" s="107"/>
      <c r="N12" s="23"/>
      <c r="O12" s="52">
        <v>1</v>
      </c>
      <c r="P12" s="22"/>
      <c r="Q12" s="23"/>
      <c r="R12" s="11" t="s">
        <v>14</v>
      </c>
      <c r="S12" s="23"/>
      <c r="T12" s="34" t="str">
        <f t="shared" si="0"/>
        <v>CpSw3V3</v>
      </c>
      <c r="U12" s="111" t="s">
        <v>53</v>
      </c>
      <c r="V12" s="111"/>
      <c r="W12" s="111"/>
      <c r="X12" s="111"/>
      <c r="Y12" s="111"/>
      <c r="Z12" s="111"/>
      <c r="AA12" s="23"/>
      <c r="AB12" s="105">
        <v>0</v>
      </c>
      <c r="AC12" s="106"/>
      <c r="AD12" s="106"/>
      <c r="AE12" s="107"/>
      <c r="AF12" s="23"/>
      <c r="AG12" s="16">
        <v>0</v>
      </c>
      <c r="AH12" s="22"/>
      <c r="AI12" s="23"/>
      <c r="AJ12" s="11" t="s">
        <v>14</v>
      </c>
      <c r="AK12" s="23"/>
      <c r="AL12" s="34" t="str">
        <f t="shared" si="5"/>
        <v>PolMgt1V2_I</v>
      </c>
      <c r="AM12" s="130" t="s">
        <v>261</v>
      </c>
      <c r="AN12" s="130"/>
      <c r="AO12" s="130"/>
      <c r="AP12" s="130"/>
      <c r="AQ12" s="130"/>
      <c r="AR12" s="130"/>
      <c r="AS12" s="23"/>
      <c r="AT12" s="105">
        <v>0</v>
      </c>
      <c r="AU12" s="106"/>
      <c r="AV12" s="106"/>
      <c r="AW12" s="107"/>
      <c r="AX12" s="23"/>
      <c r="AY12" s="16">
        <v>0</v>
      </c>
      <c r="AZ12" s="22"/>
      <c r="BA12" s="23"/>
      <c r="BB12" s="11" t="s">
        <v>0</v>
      </c>
      <c r="BC12" s="35"/>
      <c r="BD12" s="35">
        <f t="shared" si="8"/>
        <v>15</v>
      </c>
      <c r="BE12" s="35">
        <f t="shared" si="1"/>
        <v>9</v>
      </c>
      <c r="BF12" s="59">
        <f t="shared" si="6"/>
        <v>13</v>
      </c>
      <c r="BJ12" s="35" t="str">
        <f t="shared" si="7"/>
        <v>{PsVauxMin1V8, "PS Vaux min 1V8", 5, 1, 0, 1, 5, 19,"V"},</v>
      </c>
      <c r="BK12" s="35" t="str">
        <f t="shared" si="2"/>
        <v>{CpSw3V3, "CP SW 3V3", 5, 28, 0, 0, 5, 46,"V"},</v>
      </c>
      <c r="BL12" s="35" t="str">
        <f t="shared" si="3"/>
        <v>{PolMgt1V2_I, "POL MGT 1V2_I", 5, 55, 0, 0, 5, 73,"A"},</v>
      </c>
      <c r="BM12" s="23"/>
      <c r="BN12" s="35"/>
      <c r="BO12" s="35"/>
      <c r="BP12" s="35"/>
      <c r="BQ12" s="35"/>
      <c r="BR12" s="35"/>
      <c r="BS12" s="35"/>
      <c r="BT12" s="35"/>
      <c r="BU12" s="35"/>
      <c r="BV12" s="35"/>
      <c r="BW12" s="23"/>
      <c r="BX12" s="23"/>
      <c r="BY12" s="23"/>
      <c r="BZ12" s="35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</row>
    <row r="13" spans="1:104" ht="15" thickBot="1">
      <c r="A13">
        <v>6</v>
      </c>
      <c r="B13" s="34" t="str">
        <f t="shared" si="4"/>
        <v>PsVauxMax1V8</v>
      </c>
      <c r="C13" s="117" t="s">
        <v>45</v>
      </c>
      <c r="D13" s="118"/>
      <c r="E13" s="118"/>
      <c r="F13" s="118"/>
      <c r="G13" s="118"/>
      <c r="H13" s="119"/>
      <c r="I13" s="23"/>
      <c r="J13" s="105">
        <v>0</v>
      </c>
      <c r="K13" s="106"/>
      <c r="L13" s="106"/>
      <c r="M13" s="107"/>
      <c r="N13" s="23"/>
      <c r="O13" s="52">
        <v>1</v>
      </c>
      <c r="P13" s="22"/>
      <c r="Q13" s="23"/>
      <c r="R13" s="11" t="s">
        <v>14</v>
      </c>
      <c r="S13" s="23"/>
      <c r="T13" s="34" t="str">
        <f t="shared" si="0"/>
        <v>CjSw3V3</v>
      </c>
      <c r="U13" s="111" t="s">
        <v>39</v>
      </c>
      <c r="V13" s="111"/>
      <c r="W13" s="111"/>
      <c r="X13" s="111"/>
      <c r="Y13" s="111"/>
      <c r="Z13" s="111"/>
      <c r="AA13" s="23"/>
      <c r="AB13" s="105">
        <v>0</v>
      </c>
      <c r="AC13" s="106"/>
      <c r="AD13" s="106"/>
      <c r="AE13" s="107"/>
      <c r="AF13" s="23"/>
      <c r="AG13" s="16">
        <v>0</v>
      </c>
      <c r="AH13" s="22"/>
      <c r="AI13" s="23"/>
      <c r="AJ13" s="11" t="s">
        <v>14</v>
      </c>
      <c r="AK13" s="23"/>
      <c r="AL13" s="34" t="str">
        <f t="shared" si="5"/>
        <v>CjMgt1V8</v>
      </c>
      <c r="AM13" s="130" t="s">
        <v>48</v>
      </c>
      <c r="AN13" s="130"/>
      <c r="AO13" s="130"/>
      <c r="AP13" s="130"/>
      <c r="AQ13" s="130"/>
      <c r="AR13" s="130"/>
      <c r="AS13" s="23"/>
      <c r="AT13" s="105">
        <v>0</v>
      </c>
      <c r="AU13" s="106"/>
      <c r="AV13" s="106"/>
      <c r="AW13" s="107"/>
      <c r="AX13" s="23"/>
      <c r="AY13" s="16">
        <v>0</v>
      </c>
      <c r="AZ13" s="22"/>
      <c r="BA13" s="23"/>
      <c r="BB13" s="11" t="s">
        <v>14</v>
      </c>
      <c r="BC13" s="35"/>
      <c r="BD13" s="35">
        <f t="shared" si="8"/>
        <v>15</v>
      </c>
      <c r="BE13" s="35">
        <f t="shared" si="1"/>
        <v>6</v>
      </c>
      <c r="BF13" s="59">
        <f t="shared" si="6"/>
        <v>10</v>
      </c>
      <c r="BJ13" s="35" t="str">
        <f t="shared" si="7"/>
        <v>{PsVauxMax1V8, "PS Vaux max 1V8", 6, 1, 0, 1, 6, 19,"V"},</v>
      </c>
      <c r="BK13" s="35" t="str">
        <f t="shared" si="2"/>
        <v>{CjSw3V3, "CJ SW 3V3", 6, 28, 0, 0, 6, 46,"V"},</v>
      </c>
      <c r="BL13" s="35" t="str">
        <f t="shared" si="3"/>
        <v>{CjMgt1V8, "CJ MGT 1V8", 6, 55, 0, 0, 6, 73,"V"},</v>
      </c>
      <c r="BM13" s="23"/>
      <c r="BN13" s="35"/>
      <c r="BO13" s="35"/>
      <c r="BP13" s="35"/>
      <c r="BQ13" s="35"/>
      <c r="BR13" s="35"/>
      <c r="BS13" s="35"/>
      <c r="BT13" s="35"/>
      <c r="BU13" s="35"/>
      <c r="BV13" s="35"/>
      <c r="BW13" s="23"/>
      <c r="BX13" s="23"/>
      <c r="BY13" s="23"/>
      <c r="BZ13" s="35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</row>
    <row r="14" spans="1:104" ht="15" thickBot="1">
      <c r="A14">
        <v>7</v>
      </c>
      <c r="B14" s="34" t="str">
        <f t="shared" si="4"/>
        <v>PlVbram1V0</v>
      </c>
      <c r="C14" s="120" t="s">
        <v>17</v>
      </c>
      <c r="D14" s="121"/>
      <c r="E14" s="121"/>
      <c r="F14" s="121"/>
      <c r="G14" s="121"/>
      <c r="H14" s="122"/>
      <c r="I14" s="23"/>
      <c r="J14" s="105">
        <v>0</v>
      </c>
      <c r="K14" s="106"/>
      <c r="L14" s="106"/>
      <c r="M14" s="107"/>
      <c r="N14" s="23"/>
      <c r="O14" s="52">
        <v>1</v>
      </c>
      <c r="P14" s="22"/>
      <c r="Q14" s="23"/>
      <c r="R14" s="11" t="s">
        <v>14</v>
      </c>
      <c r="S14" s="23"/>
      <c r="T14" s="34" t="str">
        <f t="shared" si="0"/>
        <v>Cu3V3</v>
      </c>
      <c r="U14" s="111" t="s">
        <v>51</v>
      </c>
      <c r="V14" s="111"/>
      <c r="W14" s="111"/>
      <c r="X14" s="111"/>
      <c r="Y14" s="111"/>
      <c r="Z14" s="111"/>
      <c r="AA14" s="23"/>
      <c r="AB14" s="105">
        <v>0</v>
      </c>
      <c r="AC14" s="106"/>
      <c r="AD14" s="106"/>
      <c r="AE14" s="107"/>
      <c r="AF14" s="23"/>
      <c r="AG14" s="16">
        <v>0</v>
      </c>
      <c r="AH14" s="22"/>
      <c r="AI14" s="23"/>
      <c r="AJ14" s="11" t="s">
        <v>14</v>
      </c>
      <c r="AK14" s="23"/>
      <c r="AL14" s="34" t="s">
        <v>127</v>
      </c>
      <c r="AM14" s="130" t="s">
        <v>313</v>
      </c>
      <c r="AN14" s="130"/>
      <c r="AO14" s="130"/>
      <c r="AP14" s="130"/>
      <c r="AQ14" s="130"/>
      <c r="AR14" s="130"/>
      <c r="AS14" s="23"/>
      <c r="AT14" s="105">
        <v>0</v>
      </c>
      <c r="AU14" s="106"/>
      <c r="AV14" s="106"/>
      <c r="AW14" s="107"/>
      <c r="AX14" s="23"/>
      <c r="AY14" s="16">
        <v>4</v>
      </c>
      <c r="AZ14" s="22"/>
      <c r="BA14" s="23"/>
      <c r="BB14" s="11" t="s">
        <v>314</v>
      </c>
      <c r="BC14" s="35"/>
      <c r="BD14" s="35">
        <f t="shared" si="8"/>
        <v>13</v>
      </c>
      <c r="BE14" s="35">
        <f t="shared" si="1"/>
        <v>7</v>
      </c>
      <c r="BF14" s="59">
        <f t="shared" si="6"/>
        <v>15</v>
      </c>
      <c r="BJ14" s="35" t="str">
        <f t="shared" si="7"/>
        <v>{PlVbram1V0, "PL Vbram 1V0", 7, 1, 0, 1, 7, 19,"V"},</v>
      </c>
      <c r="BK14" s="35" t="str">
        <f t="shared" si="2"/>
        <v>{Cu3V3, "CU 3V3", 7, 28, 0, 0, 7, 46,"V"},</v>
      </c>
      <c r="BL14" s="35" t="str">
        <f t="shared" si="3"/>
        <v>{Blank54, "XXXXXXXXXXXXXXX", 7, 55, 0, 4, 7, 73,"X"},</v>
      </c>
      <c r="BM14" s="23"/>
      <c r="BN14" s="35"/>
      <c r="BO14" s="35"/>
      <c r="BP14" s="35"/>
      <c r="BQ14" s="35"/>
      <c r="BR14" s="35"/>
      <c r="BS14" s="35"/>
      <c r="BT14" s="35"/>
      <c r="BU14" s="35"/>
      <c r="BV14" s="35"/>
      <c r="BW14" s="23"/>
      <c r="BX14" s="23"/>
      <c r="BY14" s="23"/>
      <c r="BZ14" s="35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</row>
    <row r="15" spans="1:104" ht="15" thickBot="1">
      <c r="A15">
        <v>8</v>
      </c>
      <c r="B15" s="54" t="str">
        <f t="shared" si="4"/>
        <v>PlVbramMin1V0</v>
      </c>
      <c r="C15" s="117" t="s">
        <v>40</v>
      </c>
      <c r="D15" s="118"/>
      <c r="E15" s="118"/>
      <c r="F15" s="118"/>
      <c r="G15" s="118"/>
      <c r="H15" s="119"/>
      <c r="I15" s="37"/>
      <c r="J15" s="131">
        <v>0</v>
      </c>
      <c r="K15" s="132"/>
      <c r="L15" s="132"/>
      <c r="M15" s="133"/>
      <c r="N15" s="37"/>
      <c r="O15" s="52">
        <v>1</v>
      </c>
      <c r="P15" s="55"/>
      <c r="Q15" s="37"/>
      <c r="R15" s="56" t="s">
        <v>14</v>
      </c>
      <c r="S15" s="37"/>
      <c r="T15" s="54" t="str">
        <f t="shared" si="0"/>
        <v>Brd5V0</v>
      </c>
      <c r="U15" s="118" t="s">
        <v>21</v>
      </c>
      <c r="V15" s="118"/>
      <c r="W15" s="118"/>
      <c r="X15" s="118"/>
      <c r="Y15" s="118"/>
      <c r="Z15" s="118"/>
      <c r="AA15" s="37"/>
      <c r="AB15" s="131">
        <v>0</v>
      </c>
      <c r="AC15" s="132"/>
      <c r="AD15" s="132"/>
      <c r="AE15" s="133"/>
      <c r="AF15" s="37"/>
      <c r="AG15" s="57">
        <v>0</v>
      </c>
      <c r="AH15" s="55"/>
      <c r="AI15" s="37"/>
      <c r="AJ15" s="56" t="s">
        <v>14</v>
      </c>
      <c r="AK15" s="37"/>
      <c r="AL15" s="34" t="s">
        <v>128</v>
      </c>
      <c r="AM15" s="135" t="s">
        <v>313</v>
      </c>
      <c r="AN15" s="135"/>
      <c r="AO15" s="135"/>
      <c r="AP15" s="135"/>
      <c r="AQ15" s="135"/>
      <c r="AR15" s="135"/>
      <c r="AS15" s="23"/>
      <c r="AT15" s="136">
        <v>0</v>
      </c>
      <c r="AU15" s="137"/>
      <c r="AV15" s="137"/>
      <c r="AW15" s="138"/>
      <c r="AX15" s="23"/>
      <c r="AY15" s="87">
        <v>4</v>
      </c>
      <c r="AZ15" s="22"/>
      <c r="BA15" s="23"/>
      <c r="BB15" s="88" t="s">
        <v>314</v>
      </c>
      <c r="BC15" s="35"/>
      <c r="BD15" s="35">
        <f t="shared" si="8"/>
        <v>15</v>
      </c>
      <c r="BE15" s="35">
        <f t="shared" si="1"/>
        <v>8</v>
      </c>
      <c r="BF15" s="59">
        <f t="shared" si="6"/>
        <v>15</v>
      </c>
      <c r="BJ15" s="35" t="str">
        <f t="shared" si="7"/>
        <v>{PlVbramMin1V0, "PL Vbram min 1V0", 8, 1, 0, 1, 8, 19,"V"},</v>
      </c>
      <c r="BK15" s="35" t="str">
        <f t="shared" si="2"/>
        <v>{Brd5V0, "Brd 5V0", 8, 28, 0, 0, 8, 46,"V"},</v>
      </c>
      <c r="BL15" s="35" t="str">
        <f t="shared" si="3"/>
        <v>{Blank55, "XXXXXXXXXXXXXXX", 8, 55, 0, 4, 8, 73,"X"},</v>
      </c>
      <c r="BM15" s="23"/>
      <c r="BN15" s="35"/>
      <c r="BO15" s="35"/>
      <c r="BP15" s="35"/>
      <c r="BQ15" s="35"/>
      <c r="BR15" s="35"/>
      <c r="BS15" s="35"/>
      <c r="BT15" s="35"/>
      <c r="BU15" s="35"/>
      <c r="BV15" s="35"/>
      <c r="BW15" s="23"/>
      <c r="BX15" s="23"/>
      <c r="BY15" s="23"/>
      <c r="BZ15" s="35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</row>
    <row r="16" spans="1:104" ht="15" thickBot="1">
      <c r="A16">
        <v>9</v>
      </c>
      <c r="B16" s="30" t="str">
        <f t="shared" si="4"/>
        <v>PlVbramMax1V0</v>
      </c>
      <c r="C16" s="123" t="s">
        <v>41</v>
      </c>
      <c r="D16" s="124"/>
      <c r="E16" s="124"/>
      <c r="F16" s="124"/>
      <c r="G16" s="124"/>
      <c r="H16" s="125"/>
      <c r="I16" s="31"/>
      <c r="J16" s="108">
        <v>0</v>
      </c>
      <c r="K16" s="109"/>
      <c r="L16" s="109"/>
      <c r="M16" s="110"/>
      <c r="N16" s="31"/>
      <c r="O16" s="52">
        <v>1</v>
      </c>
      <c r="P16" s="53"/>
      <c r="Q16" s="31"/>
      <c r="R16" s="9" t="s">
        <v>14</v>
      </c>
      <c r="S16" s="31"/>
      <c r="T16" s="30" t="str">
        <f t="shared" si="0"/>
        <v>Brd12V0</v>
      </c>
      <c r="U16" s="121" t="s">
        <v>31</v>
      </c>
      <c r="V16" s="121"/>
      <c r="W16" s="121"/>
      <c r="X16" s="121"/>
      <c r="Y16" s="121"/>
      <c r="Z16" s="121"/>
      <c r="AA16" s="31"/>
      <c r="AB16" s="108">
        <v>0</v>
      </c>
      <c r="AC16" s="109"/>
      <c r="AD16" s="109"/>
      <c r="AE16" s="110"/>
      <c r="AF16" s="31"/>
      <c r="AG16" s="52">
        <v>0</v>
      </c>
      <c r="AH16" s="53"/>
      <c r="AI16" s="31"/>
      <c r="AJ16" s="9" t="s">
        <v>14</v>
      </c>
      <c r="AK16" s="31"/>
      <c r="AL16" s="30" t="s">
        <v>129</v>
      </c>
      <c r="AM16" s="126" t="s">
        <v>313</v>
      </c>
      <c r="AN16" s="126"/>
      <c r="AO16" s="126"/>
      <c r="AP16" s="126"/>
      <c r="AQ16" s="126"/>
      <c r="AR16" s="126"/>
      <c r="AS16" s="31"/>
      <c r="AT16" s="108">
        <v>0</v>
      </c>
      <c r="AU16" s="109"/>
      <c r="AV16" s="109"/>
      <c r="AW16" s="110"/>
      <c r="AX16" s="31"/>
      <c r="AY16" s="52">
        <v>4</v>
      </c>
      <c r="AZ16" s="53"/>
      <c r="BA16" s="31"/>
      <c r="BB16" s="9" t="s">
        <v>314</v>
      </c>
      <c r="BC16" s="32"/>
      <c r="BD16" s="32">
        <f t="shared" si="8"/>
        <v>15</v>
      </c>
      <c r="BE16" s="32">
        <f t="shared" si="1"/>
        <v>9</v>
      </c>
      <c r="BF16" s="58">
        <f t="shared" si="6"/>
        <v>15</v>
      </c>
      <c r="BJ16" s="35" t="str">
        <f t="shared" si="7"/>
        <v>{PlVbramMax1V0, "PL Vbram max 1V0", 9, 1, 0, 1, 9, 19,"V"},</v>
      </c>
      <c r="BK16" s="35" t="str">
        <f t="shared" si="2"/>
        <v>{Brd12V0, "Brd 12V0", 9, 28, 0, 0, 9, 46,"V"},</v>
      </c>
      <c r="BL16" s="35" t="str">
        <f t="shared" si="3"/>
        <v>{Blank56, "XXXXXXXXXXXXXXX", 9, 55, 0, 4, 9, 73,"X"},</v>
      </c>
      <c r="BM16" s="23"/>
      <c r="BN16" s="35"/>
      <c r="BO16" s="35"/>
      <c r="BP16" s="35"/>
      <c r="BQ16" s="35"/>
      <c r="BR16" s="35"/>
      <c r="BS16" s="35"/>
      <c r="BT16" s="35"/>
      <c r="BU16" s="35"/>
      <c r="BV16" s="35"/>
      <c r="BW16" s="23"/>
      <c r="BX16" s="23"/>
      <c r="BY16" s="23"/>
      <c r="BZ16" s="35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</row>
    <row r="17" spans="1:104" ht="15" thickBot="1">
      <c r="A17">
        <v>10</v>
      </c>
      <c r="B17" s="34" t="str">
        <f t="shared" si="4"/>
        <v>PsVccmem1V35</v>
      </c>
      <c r="C17" s="120" t="s">
        <v>19</v>
      </c>
      <c r="D17" s="121"/>
      <c r="E17" s="121"/>
      <c r="F17" s="121"/>
      <c r="G17" s="121"/>
      <c r="H17" s="122"/>
      <c r="I17" s="23"/>
      <c r="J17" s="105">
        <v>0</v>
      </c>
      <c r="K17" s="106"/>
      <c r="L17" s="106"/>
      <c r="M17" s="107"/>
      <c r="N17" s="23"/>
      <c r="O17" s="52">
        <v>1</v>
      </c>
      <c r="P17" s="22"/>
      <c r="Q17" s="23"/>
      <c r="R17" s="11" t="s">
        <v>14</v>
      </c>
      <c r="S17" s="23"/>
      <c r="T17" s="34" t="str">
        <f t="shared" si="0"/>
        <v>Dspy12V0</v>
      </c>
      <c r="U17" s="111" t="s">
        <v>56</v>
      </c>
      <c r="V17" s="111"/>
      <c r="W17" s="111"/>
      <c r="X17" s="111"/>
      <c r="Y17" s="111"/>
      <c r="Z17" s="111"/>
      <c r="AA17" s="23"/>
      <c r="AB17" s="105">
        <v>0</v>
      </c>
      <c r="AC17" s="106"/>
      <c r="AD17" s="106"/>
      <c r="AE17" s="107"/>
      <c r="AF17" s="23"/>
      <c r="AG17" s="16">
        <v>0</v>
      </c>
      <c r="AH17" s="22"/>
      <c r="AI17" s="23"/>
      <c r="AJ17" s="11" t="s">
        <v>14</v>
      </c>
      <c r="AK17" s="23"/>
      <c r="AL17" s="34" t="str">
        <f>SUBSTITUTE(PROPER(AM17)," ","")</f>
        <v>L22V5</v>
      </c>
      <c r="AM17" s="127" t="s">
        <v>27</v>
      </c>
      <c r="AN17" s="128"/>
      <c r="AO17" s="128"/>
      <c r="AP17" s="128"/>
      <c r="AQ17" s="128"/>
      <c r="AR17" s="129"/>
      <c r="AS17" s="23"/>
      <c r="AT17" s="78">
        <v>0</v>
      </c>
      <c r="AU17" s="79"/>
      <c r="AV17" s="79"/>
      <c r="AW17" s="80"/>
      <c r="AX17" s="23"/>
      <c r="AY17" s="16">
        <v>0</v>
      </c>
      <c r="AZ17" s="22"/>
      <c r="BA17" s="23"/>
      <c r="BB17" s="11" t="s">
        <v>14</v>
      </c>
      <c r="BC17" s="35"/>
      <c r="BD17" s="35">
        <f t="shared" ref="BD17:BD29" si="9">LEN(C17)</f>
        <v>14</v>
      </c>
      <c r="BE17" s="35">
        <f t="shared" ref="BE17:BE31" si="10">LEN(U18)</f>
        <v>14</v>
      </c>
      <c r="BF17" s="59">
        <f t="shared" si="6"/>
        <v>6</v>
      </c>
      <c r="BJ17" s="35" t="str">
        <f t="shared" si="7"/>
        <v>{PsVccmem1V35, "PS Vccmem 1V35", 10, 1, 0, 1, 10, 19,"V"},</v>
      </c>
      <c r="BK17" s="35" t="str">
        <f t="shared" si="2"/>
        <v>{Dspy12V0, "DSPY 12V0", 10, 28, 0, 0, 10, 46,"V"},</v>
      </c>
      <c r="BL17" s="35" t="str">
        <f t="shared" si="3"/>
        <v>{L22V5, "L2 2V5", 10, 55, 0, 0, 10, 73,"V"},</v>
      </c>
      <c r="BM17" s="23"/>
      <c r="BN17" s="35"/>
      <c r="BO17" s="35"/>
      <c r="BP17" s="35"/>
      <c r="BQ17" s="35"/>
      <c r="BR17" s="35"/>
      <c r="BS17" s="35"/>
      <c r="BT17" s="35"/>
      <c r="BU17" s="35"/>
      <c r="BV17" s="35"/>
      <c r="BW17" s="23"/>
      <c r="BX17" s="23"/>
      <c r="BY17" s="23"/>
      <c r="BZ17" s="35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</row>
    <row r="18" spans="1:104" ht="15" thickBot="1">
      <c r="A18">
        <v>11</v>
      </c>
      <c r="B18" s="34" t="str">
        <f t="shared" si="4"/>
        <v>PsVmemMin1V35</v>
      </c>
      <c r="C18" s="112" t="s">
        <v>46</v>
      </c>
      <c r="D18" s="111"/>
      <c r="E18" s="111"/>
      <c r="F18" s="111"/>
      <c r="G18" s="111"/>
      <c r="H18" s="113"/>
      <c r="I18" s="23"/>
      <c r="J18" s="105">
        <v>0</v>
      </c>
      <c r="K18" s="106"/>
      <c r="L18" s="106"/>
      <c r="M18" s="107"/>
      <c r="N18" s="23"/>
      <c r="O18" s="52">
        <v>1</v>
      </c>
      <c r="P18" s="22"/>
      <c r="Q18" s="23"/>
      <c r="R18" s="11" t="s">
        <v>14</v>
      </c>
      <c r="S18" s="23"/>
      <c r="T18" s="34" t="str">
        <f t="shared" ref="T18:T31" si="11">SUBSTITUTE(PROPER(U18)," ","")</f>
        <v>CjVccint0V95</v>
      </c>
      <c r="U18" s="111" t="s">
        <v>35</v>
      </c>
      <c r="V18" s="111"/>
      <c r="W18" s="111"/>
      <c r="X18" s="111"/>
      <c r="Y18" s="111"/>
      <c r="Z18" s="111"/>
      <c r="AA18" s="23"/>
      <c r="AB18" s="105">
        <v>0</v>
      </c>
      <c r="AC18" s="106"/>
      <c r="AD18" s="106"/>
      <c r="AE18" s="107"/>
      <c r="AF18" s="23"/>
      <c r="AG18" s="16">
        <v>1</v>
      </c>
      <c r="AH18" s="22"/>
      <c r="AI18" s="23"/>
      <c r="AJ18" s="11" t="s">
        <v>14</v>
      </c>
      <c r="AK18" s="23"/>
      <c r="AL18" s="34" t="str">
        <f>SUBSTITUTE(PROPER(AM18)," ","")</f>
        <v>L21V8</v>
      </c>
      <c r="AM18" s="127" t="s">
        <v>26</v>
      </c>
      <c r="AN18" s="128"/>
      <c r="AO18" s="128"/>
      <c r="AP18" s="128"/>
      <c r="AQ18" s="128"/>
      <c r="AR18" s="129"/>
      <c r="AS18" s="23"/>
      <c r="AT18" s="78">
        <v>0</v>
      </c>
      <c r="AU18" s="79"/>
      <c r="AV18" s="79"/>
      <c r="AW18" s="80"/>
      <c r="AX18" s="23"/>
      <c r="AY18" s="16">
        <v>0</v>
      </c>
      <c r="AZ18" s="22"/>
      <c r="BA18" s="23"/>
      <c r="BB18" s="11" t="s">
        <v>14</v>
      </c>
      <c r="BC18" s="35"/>
      <c r="BD18" s="35">
        <f t="shared" si="9"/>
        <v>16</v>
      </c>
      <c r="BE18" s="35">
        <f t="shared" si="10"/>
        <v>16</v>
      </c>
      <c r="BF18" s="59">
        <f>LEN(AM17)</f>
        <v>6</v>
      </c>
      <c r="BJ18" s="35" t="str">
        <f t="shared" si="7"/>
        <v>{PsVmemMin1V35, "PS Vmem min 1V35", 11, 1, 0, 1, 11, 19,"V"},</v>
      </c>
      <c r="BK18" s="35" t="str">
        <f t="shared" si="2"/>
        <v>{CjVccint0V95, "CJ Vccint 0V95", 11, 28, 0, 1, 11, 46,"V"},</v>
      </c>
      <c r="BL18" s="35" t="str">
        <f t="shared" si="3"/>
        <v>{L21V8, "L2 1V8", 11, 55, 0, 0, 11, 73,"V"},</v>
      </c>
      <c r="BM18" s="23"/>
      <c r="BN18" s="35"/>
      <c r="BO18" s="35"/>
      <c r="BP18" s="35"/>
      <c r="BQ18" s="35"/>
      <c r="BR18" s="35"/>
      <c r="BS18" s="35"/>
      <c r="BT18" s="35"/>
      <c r="BU18" s="35"/>
      <c r="BV18" s="35"/>
      <c r="BW18" s="23"/>
      <c r="BX18" s="23"/>
      <c r="BY18" s="23"/>
      <c r="BZ18" s="35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</row>
    <row r="19" spans="1:104" ht="15" thickBot="1">
      <c r="A19">
        <v>12</v>
      </c>
      <c r="B19" s="34" t="str">
        <f t="shared" si="4"/>
        <v>PsVmemMax1V35</v>
      </c>
      <c r="C19" s="117" t="s">
        <v>47</v>
      </c>
      <c r="D19" s="118"/>
      <c r="E19" s="118"/>
      <c r="F19" s="118"/>
      <c r="G19" s="118"/>
      <c r="H19" s="119"/>
      <c r="I19" s="23"/>
      <c r="J19" s="105">
        <v>0</v>
      </c>
      <c r="K19" s="106"/>
      <c r="L19" s="106"/>
      <c r="M19" s="107"/>
      <c r="N19" s="23"/>
      <c r="O19" s="52">
        <v>1</v>
      </c>
      <c r="P19" s="22"/>
      <c r="Q19" s="23"/>
      <c r="R19" s="11" t="s">
        <v>14</v>
      </c>
      <c r="S19" s="23"/>
      <c r="T19" s="34" t="str">
        <f t="shared" si="11"/>
        <v>CjVintMin0V95</v>
      </c>
      <c r="U19" s="111" t="s">
        <v>70</v>
      </c>
      <c r="V19" s="111"/>
      <c r="W19" s="111"/>
      <c r="X19" s="111"/>
      <c r="Y19" s="111"/>
      <c r="Z19" s="111"/>
      <c r="AA19" s="23"/>
      <c r="AB19" s="105">
        <v>0</v>
      </c>
      <c r="AC19" s="106"/>
      <c r="AD19" s="106"/>
      <c r="AE19" s="107"/>
      <c r="AF19" s="23"/>
      <c r="AG19" s="16">
        <v>1</v>
      </c>
      <c r="AH19" s="22"/>
      <c r="AI19" s="23"/>
      <c r="AJ19" s="11" t="s">
        <v>14</v>
      </c>
      <c r="AK19" s="23"/>
      <c r="AL19" s="34" t="str">
        <f>SUBSTITUTE(PROPER(AM19)," ","")</f>
        <v>L2Pll1V0</v>
      </c>
      <c r="AM19" s="127" t="s">
        <v>25</v>
      </c>
      <c r="AN19" s="128"/>
      <c r="AO19" s="128"/>
      <c r="AP19" s="128"/>
      <c r="AQ19" s="128"/>
      <c r="AR19" s="129"/>
      <c r="AS19" s="23"/>
      <c r="AT19" s="78">
        <v>0</v>
      </c>
      <c r="AU19" s="79"/>
      <c r="AV19" s="79"/>
      <c r="AW19" s="80"/>
      <c r="AX19" s="23"/>
      <c r="AY19" s="16">
        <v>1</v>
      </c>
      <c r="AZ19" s="22"/>
      <c r="BA19" s="23"/>
      <c r="BB19" s="11" t="s">
        <v>14</v>
      </c>
      <c r="BC19" s="35"/>
      <c r="BD19" s="35">
        <f t="shared" si="9"/>
        <v>16</v>
      </c>
      <c r="BE19" s="35">
        <f t="shared" si="10"/>
        <v>16</v>
      </c>
      <c r="BF19" s="59">
        <f>LEN(AM18)</f>
        <v>6</v>
      </c>
      <c r="BJ19" s="35" t="str">
        <f t="shared" si="7"/>
        <v>{PsVmemMax1V35, "PS Vmem max 1V35", 12, 1, 0, 1, 12, 19,"V"},</v>
      </c>
      <c r="BK19" s="35" t="str">
        <f t="shared" si="2"/>
        <v>{CjVintMin0V95, "CJ Vint min 0V95", 12, 28, 0, 1, 12, 46,"V"},</v>
      </c>
      <c r="BL19" s="35" t="str">
        <f t="shared" si="3"/>
        <v>{L2Pll1V0, "L2 PLL 1V0", 12, 55, 0, 1, 12, 73,"V"},</v>
      </c>
      <c r="BM19" s="23"/>
      <c r="BN19" s="35"/>
      <c r="BO19" s="35"/>
      <c r="BP19" s="35"/>
      <c r="BQ19" s="35"/>
      <c r="BR19" s="35"/>
      <c r="BS19" s="35"/>
      <c r="BT19" s="35"/>
      <c r="BU19" s="35"/>
      <c r="BV19" s="35"/>
      <c r="BW19" s="23"/>
      <c r="BX19" s="23"/>
      <c r="BY19" s="23"/>
      <c r="BZ19" s="35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</row>
    <row r="20" spans="1:104">
      <c r="A20">
        <v>13</v>
      </c>
      <c r="B20" s="34" t="str">
        <f t="shared" si="4"/>
        <v>BrdDdr31V35</v>
      </c>
      <c r="C20" s="144" t="s">
        <v>34</v>
      </c>
      <c r="D20" s="144"/>
      <c r="E20" s="144"/>
      <c r="F20" s="144"/>
      <c r="G20" s="144"/>
      <c r="H20" s="144"/>
      <c r="I20" s="23"/>
      <c r="J20" s="105">
        <v>0</v>
      </c>
      <c r="K20" s="106"/>
      <c r="L20" s="106"/>
      <c r="M20" s="107"/>
      <c r="N20" s="23"/>
      <c r="O20" s="52">
        <v>0</v>
      </c>
      <c r="P20" s="22"/>
      <c r="Q20" s="23"/>
      <c r="R20" s="11" t="s">
        <v>14</v>
      </c>
      <c r="S20" s="23"/>
      <c r="T20" s="34" t="str">
        <f t="shared" si="11"/>
        <v>CjVintMax0V95</v>
      </c>
      <c r="U20" s="111" t="s">
        <v>71</v>
      </c>
      <c r="V20" s="111"/>
      <c r="W20" s="111"/>
      <c r="X20" s="111"/>
      <c r="Y20" s="111"/>
      <c r="Z20" s="111"/>
      <c r="AA20" s="23"/>
      <c r="AB20" s="105">
        <v>0</v>
      </c>
      <c r="AC20" s="106"/>
      <c r="AD20" s="106"/>
      <c r="AE20" s="107"/>
      <c r="AF20" s="23"/>
      <c r="AG20" s="16">
        <v>1</v>
      </c>
      <c r="AH20" s="22"/>
      <c r="AI20" s="23"/>
      <c r="AJ20" s="11" t="s">
        <v>14</v>
      </c>
      <c r="AK20" s="23"/>
      <c r="AL20" s="34" t="str">
        <f>SUBSTITUTE(PROPER(AM20)," ","")</f>
        <v>L2Vdd0V95</v>
      </c>
      <c r="AM20" s="127" t="s">
        <v>421</v>
      </c>
      <c r="AN20" s="128"/>
      <c r="AO20" s="128"/>
      <c r="AP20" s="128"/>
      <c r="AQ20" s="128"/>
      <c r="AR20" s="129"/>
      <c r="AS20" s="23"/>
      <c r="AT20" s="78">
        <v>0</v>
      </c>
      <c r="AU20" s="79"/>
      <c r="AV20" s="79"/>
      <c r="AW20" s="80"/>
      <c r="AX20" s="23"/>
      <c r="AY20" s="16">
        <v>1</v>
      </c>
      <c r="AZ20" s="22"/>
      <c r="BA20" s="23"/>
      <c r="BB20" s="11" t="s">
        <v>14</v>
      </c>
      <c r="BC20" s="35"/>
      <c r="BD20" s="35">
        <f t="shared" si="9"/>
        <v>13</v>
      </c>
      <c r="BE20" s="35">
        <f t="shared" si="10"/>
        <v>15</v>
      </c>
      <c r="BF20" s="59">
        <f>LEN(AM19)</f>
        <v>10</v>
      </c>
      <c r="BJ20" s="35" t="str">
        <f t="shared" si="7"/>
        <v>{BrdDdr31V35, "Brd DDR3 1V35", 13, 1, 0, 0, 13, 19,"V"},</v>
      </c>
      <c r="BK20" s="35" t="str">
        <f t="shared" si="2"/>
        <v>{CjVintMax0V95, "CJ Vint max 0V95", 13, 28, 0, 1, 13, 46,"V"},</v>
      </c>
      <c r="BL20" s="35" t="str">
        <f t="shared" si="3"/>
        <v>{L2Vdd0V95, "L2 VDD 0V95", 13, 55, 0, 1, 13, 73,"V"},</v>
      </c>
      <c r="BM20" s="23"/>
      <c r="BN20" s="35"/>
      <c r="BO20" s="35"/>
      <c r="BP20" s="35"/>
      <c r="BQ20" s="35"/>
      <c r="BR20" s="35"/>
      <c r="BS20" s="35"/>
      <c r="BT20" s="35"/>
      <c r="BU20" s="35"/>
      <c r="BV20" s="35"/>
      <c r="BW20" s="23"/>
      <c r="BX20" s="23"/>
      <c r="BY20" s="23"/>
      <c r="BZ20" s="35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</row>
    <row r="21" spans="1:104">
      <c r="A21">
        <v>14</v>
      </c>
      <c r="B21" s="34" t="str">
        <f t="shared" si="4"/>
        <v>PsDdr30V675</v>
      </c>
      <c r="C21" s="111" t="s">
        <v>32</v>
      </c>
      <c r="D21" s="111"/>
      <c r="E21" s="111"/>
      <c r="F21" s="111"/>
      <c r="G21" s="111"/>
      <c r="H21" s="111"/>
      <c r="I21" s="23"/>
      <c r="J21" s="105">
        <v>0</v>
      </c>
      <c r="K21" s="106"/>
      <c r="L21" s="106"/>
      <c r="M21" s="107"/>
      <c r="N21" s="23"/>
      <c r="O21" s="16">
        <v>1</v>
      </c>
      <c r="P21" s="22"/>
      <c r="Q21" s="23"/>
      <c r="R21" s="11" t="s">
        <v>14</v>
      </c>
      <c r="S21" s="23"/>
      <c r="T21" s="34" t="str">
        <f t="shared" si="11"/>
        <v>PolVint1V0_V</v>
      </c>
      <c r="U21" s="111" t="s">
        <v>257</v>
      </c>
      <c r="V21" s="111"/>
      <c r="W21" s="111"/>
      <c r="X21" s="111"/>
      <c r="Y21" s="111"/>
      <c r="Z21" s="111"/>
      <c r="AA21" s="23"/>
      <c r="AB21" s="105">
        <v>0</v>
      </c>
      <c r="AC21" s="106"/>
      <c r="AD21" s="106"/>
      <c r="AE21" s="107"/>
      <c r="AF21" s="23"/>
      <c r="AG21" s="16">
        <v>1</v>
      </c>
      <c r="AH21" s="22"/>
      <c r="AI21" s="23"/>
      <c r="AJ21" s="11" t="s">
        <v>14</v>
      </c>
      <c r="AK21" s="23"/>
      <c r="AL21" s="34" t="str">
        <f>SUBSTITUTE(PROPER(AM21)," ","")</f>
        <v>PolL2Vdd_V</v>
      </c>
      <c r="AM21" s="130" t="s">
        <v>292</v>
      </c>
      <c r="AN21" s="130"/>
      <c r="AO21" s="130"/>
      <c r="AP21" s="130"/>
      <c r="AQ21" s="130"/>
      <c r="AR21" s="130"/>
      <c r="AS21" s="23"/>
      <c r="AT21" s="105">
        <v>0</v>
      </c>
      <c r="AU21" s="106"/>
      <c r="AV21" s="106"/>
      <c r="AW21" s="107"/>
      <c r="AX21" s="23"/>
      <c r="AY21" s="16">
        <v>1</v>
      </c>
      <c r="AZ21" s="22"/>
      <c r="BA21" s="23"/>
      <c r="BB21" s="11" t="s">
        <v>14</v>
      </c>
      <c r="BC21" s="35"/>
      <c r="BD21" s="35">
        <f t="shared" si="9"/>
        <v>13</v>
      </c>
      <c r="BE21" s="35">
        <f t="shared" si="10"/>
        <v>16</v>
      </c>
      <c r="BF21" s="59">
        <f>LEN(AM20)</f>
        <v>11</v>
      </c>
      <c r="BJ21" s="35" t="str">
        <f t="shared" si="7"/>
        <v>{PsDdr30V675, "PS DDR3 0V675", 14, 1, 0, 1, 14, 19,"V"},</v>
      </c>
      <c r="BK21" s="35" t="str">
        <f t="shared" si="2"/>
        <v>{PolVint1V0_V, "POL VINT 1V0_ V", 14, 28, 0, 1, 14, 46,"V"},</v>
      </c>
      <c r="BL21" s="35" t="str">
        <f t="shared" si="3"/>
        <v>{PolL2Vdd_V, "POL L2 VDD_V", 14, 55, 0, 1, 14, 73,"V"},</v>
      </c>
      <c r="BM21" s="23"/>
      <c r="BN21" s="35"/>
      <c r="BO21" s="35"/>
      <c r="BP21" s="35"/>
      <c r="BQ21" s="35"/>
      <c r="BR21" s="35"/>
      <c r="BS21" s="35"/>
      <c r="BT21" s="35"/>
      <c r="BU21" s="35"/>
      <c r="BV21" s="35"/>
      <c r="BW21" s="23"/>
      <c r="BX21" s="23"/>
      <c r="BY21" s="23"/>
      <c r="BZ21" s="35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</row>
    <row r="22" spans="1:104">
      <c r="A22">
        <v>15</v>
      </c>
      <c r="B22" s="34" t="str">
        <f t="shared" si="4"/>
        <v>PlDdr30V675</v>
      </c>
      <c r="C22" s="111" t="s">
        <v>33</v>
      </c>
      <c r="D22" s="111"/>
      <c r="E22" s="111"/>
      <c r="F22" s="111"/>
      <c r="G22" s="111"/>
      <c r="H22" s="111"/>
      <c r="I22" s="23"/>
      <c r="J22" s="105">
        <v>0</v>
      </c>
      <c r="K22" s="106"/>
      <c r="L22" s="106"/>
      <c r="M22" s="107"/>
      <c r="N22" s="23"/>
      <c r="O22" s="16">
        <v>1</v>
      </c>
      <c r="P22" s="22"/>
      <c r="Q22" s="23"/>
      <c r="R22" s="11" t="s">
        <v>14</v>
      </c>
      <c r="S22" s="23"/>
      <c r="T22" s="34" t="str">
        <f t="shared" si="11"/>
        <v>PolVint1V0_I0</v>
      </c>
      <c r="U22" s="111" t="s">
        <v>423</v>
      </c>
      <c r="V22" s="111"/>
      <c r="W22" s="111"/>
      <c r="X22" s="111"/>
      <c r="Y22" s="111"/>
      <c r="Z22" s="111"/>
      <c r="AA22" s="23"/>
      <c r="AB22" s="105">
        <v>0</v>
      </c>
      <c r="AC22" s="106"/>
      <c r="AD22" s="106"/>
      <c r="AE22" s="107"/>
      <c r="AF22" s="23"/>
      <c r="AG22" s="16">
        <v>0</v>
      </c>
      <c r="AH22" s="22"/>
      <c r="AI22" s="23"/>
      <c r="AJ22" s="11" t="s">
        <v>0</v>
      </c>
      <c r="AK22" s="23"/>
      <c r="AL22" s="34" t="str">
        <f t="shared" si="5"/>
        <v>PolL2Vdd_I0</v>
      </c>
      <c r="AM22" s="130" t="s">
        <v>312</v>
      </c>
      <c r="AN22" s="130"/>
      <c r="AO22" s="130"/>
      <c r="AP22" s="130"/>
      <c r="AQ22" s="130"/>
      <c r="AR22" s="130"/>
      <c r="AS22" s="23"/>
      <c r="AT22" s="105">
        <v>0</v>
      </c>
      <c r="AU22" s="106"/>
      <c r="AV22" s="106"/>
      <c r="AW22" s="107"/>
      <c r="AX22" s="23"/>
      <c r="AY22" s="70">
        <v>0</v>
      </c>
      <c r="AZ22" s="23"/>
      <c r="BA22" s="23"/>
      <c r="BB22" s="71" t="s">
        <v>0</v>
      </c>
      <c r="BC22" s="35"/>
      <c r="BD22" s="35">
        <f t="shared" si="9"/>
        <v>13</v>
      </c>
      <c r="BE22" s="35">
        <f t="shared" si="10"/>
        <v>16</v>
      </c>
      <c r="BF22" s="59">
        <f>LEN(AM21)</f>
        <v>12</v>
      </c>
      <c r="BJ22" s="35" t="str">
        <f t="shared" si="7"/>
        <v>{PlDdr30V675, "PL DDR3 0V675", 15, 1, 0, 1, 15, 19,"V"},</v>
      </c>
      <c r="BK22" s="35" t="str">
        <f t="shared" si="2"/>
        <v>{PolVint1V0_I0, "POL VINT 1V0_ I0", 15, 28, 0, 0, 15, 46,"A"},</v>
      </c>
      <c r="BL22" s="35" t="str">
        <f t="shared" si="3"/>
        <v>{PolL2Vdd_I0, "POL L2 VDD_I0", 15, 55, 0, 0, 15, 73,"A"},</v>
      </c>
      <c r="BM22" s="23"/>
      <c r="BN22" s="35"/>
      <c r="BO22" s="35"/>
      <c r="BP22" s="35"/>
      <c r="BQ22" s="35"/>
      <c r="BR22" s="35"/>
      <c r="BS22" s="35"/>
      <c r="BT22" s="35"/>
      <c r="BU22" s="35"/>
      <c r="BV22" s="35"/>
      <c r="BW22" s="23"/>
      <c r="BX22" s="23"/>
      <c r="BY22" s="23"/>
      <c r="BZ22" s="35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</row>
    <row r="23" spans="1:104" ht="15" thickBot="1">
      <c r="A23">
        <v>16</v>
      </c>
      <c r="B23" s="54" t="str">
        <f t="shared" si="4"/>
        <v>PlMgt1V0</v>
      </c>
      <c r="C23" s="118" t="s">
        <v>22</v>
      </c>
      <c r="D23" s="118"/>
      <c r="E23" s="118"/>
      <c r="F23" s="118"/>
      <c r="G23" s="118"/>
      <c r="H23" s="118"/>
      <c r="I23" s="37"/>
      <c r="J23" s="131">
        <v>0</v>
      </c>
      <c r="K23" s="132"/>
      <c r="L23" s="132"/>
      <c r="M23" s="133"/>
      <c r="N23" s="37"/>
      <c r="O23" s="57">
        <v>0</v>
      </c>
      <c r="P23" s="55"/>
      <c r="Q23" s="37"/>
      <c r="R23" s="56" t="s">
        <v>14</v>
      </c>
      <c r="S23" s="37"/>
      <c r="T23" s="54" t="str">
        <f t="shared" si="11"/>
        <v>PolVint1V0_I1</v>
      </c>
      <c r="U23" s="118" t="s">
        <v>424</v>
      </c>
      <c r="V23" s="118"/>
      <c r="W23" s="118"/>
      <c r="X23" s="118"/>
      <c r="Y23" s="118"/>
      <c r="Z23" s="118"/>
      <c r="AA23" s="37"/>
      <c r="AB23" s="131">
        <v>0</v>
      </c>
      <c r="AC23" s="132"/>
      <c r="AD23" s="132"/>
      <c r="AE23" s="133"/>
      <c r="AF23" s="37"/>
      <c r="AG23" s="57">
        <v>0</v>
      </c>
      <c r="AH23" s="55"/>
      <c r="AI23" s="37"/>
      <c r="AJ23" s="56" t="s">
        <v>0</v>
      </c>
      <c r="AK23" s="37"/>
      <c r="AL23" s="54" t="str">
        <f t="shared" si="5"/>
        <v>PolL2Vdd_I1</v>
      </c>
      <c r="AM23" s="134" t="s">
        <v>293</v>
      </c>
      <c r="AN23" s="134"/>
      <c r="AO23" s="134"/>
      <c r="AP23" s="134"/>
      <c r="AQ23" s="134"/>
      <c r="AR23" s="134"/>
      <c r="AS23" s="37"/>
      <c r="AT23" s="131">
        <v>0</v>
      </c>
      <c r="AU23" s="132"/>
      <c r="AV23" s="132"/>
      <c r="AW23" s="133"/>
      <c r="AX23" s="37"/>
      <c r="AY23" s="81">
        <v>0</v>
      </c>
      <c r="AZ23" s="55"/>
      <c r="BA23" s="37"/>
      <c r="BB23" s="56" t="s">
        <v>0</v>
      </c>
      <c r="BC23" s="38"/>
      <c r="BD23" s="38">
        <f t="shared" si="9"/>
        <v>10</v>
      </c>
      <c r="BE23" s="38">
        <f t="shared" si="10"/>
        <v>15</v>
      </c>
      <c r="BF23" s="61">
        <f t="shared" si="6"/>
        <v>13</v>
      </c>
      <c r="BJ23" s="35" t="str">
        <f t="shared" si="7"/>
        <v>{PlMgt1V0, "PL MGT 1V0", 16, 1, 0, 0, 16, 19,"V"},</v>
      </c>
      <c r="BK23" s="35" t="str">
        <f t="shared" si="2"/>
        <v>{PolVint1V0_I1, "POL VINT 1V0_ I1", 16, 28, 0, 0, 16, 46,"A"},</v>
      </c>
      <c r="BL23" s="35" t="str">
        <f t="shared" si="3"/>
        <v>{PolL2Vdd_I1, "POL L2 VDD_I1", 16, 55, 0, 0, 16, 73,"A"},</v>
      </c>
      <c r="BM23" s="23"/>
      <c r="BN23" s="35"/>
      <c r="BO23" s="35"/>
      <c r="BP23" s="35"/>
      <c r="BQ23" s="35"/>
      <c r="BR23" s="35"/>
      <c r="BS23" s="35"/>
      <c r="BT23" s="35"/>
      <c r="BU23" s="35"/>
      <c r="BV23" s="35"/>
      <c r="BW23" s="23"/>
      <c r="BX23" s="23"/>
      <c r="BY23" s="23"/>
      <c r="BZ23" s="35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</row>
    <row r="24" spans="1:104">
      <c r="A24">
        <v>17</v>
      </c>
      <c r="B24" s="30" t="str">
        <f t="shared" si="4"/>
        <v>PlMgt1V2</v>
      </c>
      <c r="C24" s="121" t="s">
        <v>23</v>
      </c>
      <c r="D24" s="121"/>
      <c r="E24" s="121"/>
      <c r="F24" s="121"/>
      <c r="G24" s="121"/>
      <c r="H24" s="121"/>
      <c r="I24" s="31"/>
      <c r="J24" s="108">
        <v>0</v>
      </c>
      <c r="K24" s="109"/>
      <c r="L24" s="109"/>
      <c r="M24" s="110"/>
      <c r="N24" s="31"/>
      <c r="O24" s="52">
        <v>0</v>
      </c>
      <c r="P24" s="53"/>
      <c r="Q24" s="31"/>
      <c r="R24" s="9" t="s">
        <v>14</v>
      </c>
      <c r="S24" s="31"/>
      <c r="T24" s="30" t="str">
        <f t="shared" si="11"/>
        <v>PolVint1V_It</v>
      </c>
      <c r="U24" s="121" t="s">
        <v>258</v>
      </c>
      <c r="V24" s="121"/>
      <c r="W24" s="121"/>
      <c r="X24" s="121"/>
      <c r="Y24" s="121"/>
      <c r="Z24" s="121"/>
      <c r="AA24" s="31"/>
      <c r="AB24" s="108">
        <v>0</v>
      </c>
      <c r="AC24" s="109"/>
      <c r="AD24" s="109"/>
      <c r="AE24" s="110"/>
      <c r="AF24" s="31"/>
      <c r="AG24" s="52">
        <v>0</v>
      </c>
      <c r="AH24" s="53"/>
      <c r="AI24" s="31"/>
      <c r="AJ24" s="9" t="s">
        <v>0</v>
      </c>
      <c r="AK24" s="31"/>
      <c r="AL24" s="34" t="str">
        <f t="shared" si="5"/>
        <v>PolL2Vdd_I2</v>
      </c>
      <c r="AM24" s="143" t="s">
        <v>294</v>
      </c>
      <c r="AN24" s="143"/>
      <c r="AO24" s="143"/>
      <c r="AP24" s="143"/>
      <c r="AQ24" s="143"/>
      <c r="AR24" s="143"/>
      <c r="AS24" s="23"/>
      <c r="AT24" s="114">
        <v>0</v>
      </c>
      <c r="AU24" s="115"/>
      <c r="AV24" s="115"/>
      <c r="AW24" s="116"/>
      <c r="AX24" s="23"/>
      <c r="AY24" s="65">
        <v>0</v>
      </c>
      <c r="AZ24" s="22"/>
      <c r="BA24" s="23"/>
      <c r="BB24" s="66" t="s">
        <v>0</v>
      </c>
      <c r="BC24" s="35"/>
      <c r="BD24" s="35">
        <f t="shared" si="9"/>
        <v>10</v>
      </c>
      <c r="BE24" s="35">
        <f t="shared" si="10"/>
        <v>13</v>
      </c>
      <c r="BF24" s="59">
        <f t="shared" si="6"/>
        <v>13</v>
      </c>
      <c r="BJ24" s="35" t="str">
        <f t="shared" si="7"/>
        <v>{PlMgt1V2, "PL MGT 1V2", 17, 1, 0, 0, 17, 19,"V"},</v>
      </c>
      <c r="BK24" s="35" t="str">
        <f t="shared" si="2"/>
        <v>{PolVint1V_It, "POL VINT 1V_ It", 17, 28, 0, 0, 17, 46,"A"},</v>
      </c>
      <c r="BL24" s="35" t="str">
        <f t="shared" si="3"/>
        <v>{PolL2Vdd_I2, "POL L2 VDD_I2", 17, 55, 0, 0, 17, 73,"A"},</v>
      </c>
      <c r="BM24" s="23"/>
      <c r="BN24" s="35"/>
      <c r="BO24" s="35"/>
      <c r="BP24" s="35"/>
      <c r="BQ24" s="35"/>
      <c r="BR24" s="35"/>
      <c r="BS24" s="35"/>
      <c r="BT24" s="35"/>
      <c r="BU24" s="35"/>
      <c r="BV24" s="35"/>
      <c r="BW24" s="23"/>
      <c r="BX24" s="23"/>
      <c r="BY24" s="23"/>
      <c r="BZ24" s="35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</row>
    <row r="25" spans="1:104">
      <c r="A25">
        <v>18</v>
      </c>
      <c r="B25" s="34" t="str">
        <f t="shared" si="4"/>
        <v>PlMgt1V8</v>
      </c>
      <c r="C25" s="111" t="s">
        <v>24</v>
      </c>
      <c r="D25" s="111"/>
      <c r="E25" s="111"/>
      <c r="F25" s="111"/>
      <c r="G25" s="111"/>
      <c r="H25" s="111"/>
      <c r="I25" s="23"/>
      <c r="J25" s="105">
        <v>0</v>
      </c>
      <c r="K25" s="106"/>
      <c r="L25" s="106"/>
      <c r="M25" s="107"/>
      <c r="N25" s="23"/>
      <c r="O25" s="16">
        <v>0</v>
      </c>
      <c r="P25" s="22"/>
      <c r="Q25" s="23"/>
      <c r="R25" s="11" t="s">
        <v>14</v>
      </c>
      <c r="S25" s="23"/>
      <c r="T25" s="34" t="str">
        <f t="shared" si="11"/>
        <v>CjVbram0V95</v>
      </c>
      <c r="U25" s="111" t="s">
        <v>37</v>
      </c>
      <c r="V25" s="111"/>
      <c r="W25" s="111"/>
      <c r="X25" s="111"/>
      <c r="Y25" s="111"/>
      <c r="Z25" s="111"/>
      <c r="AA25" s="23"/>
      <c r="AB25" s="105">
        <v>0</v>
      </c>
      <c r="AC25" s="106"/>
      <c r="AD25" s="106"/>
      <c r="AE25" s="107"/>
      <c r="AF25" s="23"/>
      <c r="AG25" s="16">
        <v>1</v>
      </c>
      <c r="AH25" s="22"/>
      <c r="AI25" s="23"/>
      <c r="AJ25" s="11" t="s">
        <v>14</v>
      </c>
      <c r="AK25" s="23"/>
      <c r="AL25" s="34" t="str">
        <f t="shared" si="5"/>
        <v>PolL2Vdd_I3</v>
      </c>
      <c r="AM25" s="130" t="s">
        <v>295</v>
      </c>
      <c r="AN25" s="130"/>
      <c r="AO25" s="130"/>
      <c r="AP25" s="130"/>
      <c r="AQ25" s="130"/>
      <c r="AR25" s="130"/>
      <c r="AS25" s="23"/>
      <c r="AT25" s="105">
        <v>0</v>
      </c>
      <c r="AU25" s="106"/>
      <c r="AV25" s="106"/>
      <c r="AW25" s="107"/>
      <c r="AX25" s="23"/>
      <c r="AY25" s="16">
        <v>0</v>
      </c>
      <c r="AZ25" s="22"/>
      <c r="BA25" s="23"/>
      <c r="BB25" s="11" t="s">
        <v>0</v>
      </c>
      <c r="BC25" s="35"/>
      <c r="BD25" s="35">
        <f t="shared" si="9"/>
        <v>10</v>
      </c>
      <c r="BE25" s="35">
        <f t="shared" si="10"/>
        <v>16</v>
      </c>
      <c r="BF25" s="59">
        <f t="shared" si="6"/>
        <v>13</v>
      </c>
      <c r="BJ25" s="35" t="str">
        <f t="shared" si="7"/>
        <v>{PlMgt1V8, "PL MGT 1V8", 18, 1, 0, 0, 18, 19,"V"},</v>
      </c>
      <c r="BK25" s="35" t="str">
        <f t="shared" si="2"/>
        <v>{CjVbram0V95, "CJ Vbram 0V95", 18, 28, 0, 1, 18, 46,"V"},</v>
      </c>
      <c r="BL25" s="35" t="str">
        <f t="shared" si="3"/>
        <v>{PolL2Vdd_I3, "POL L2 VDD_I3", 18, 55, 0, 0, 18, 73,"A"},</v>
      </c>
      <c r="BM25" s="23"/>
      <c r="BN25" s="35"/>
      <c r="BO25" s="35"/>
      <c r="BP25" s="35"/>
      <c r="BQ25" s="35"/>
      <c r="BR25" s="35"/>
      <c r="BS25" s="35"/>
      <c r="BT25" s="35"/>
      <c r="BU25" s="35"/>
      <c r="BV25" s="35"/>
      <c r="BW25" s="23"/>
      <c r="BX25" s="23"/>
      <c r="BY25" s="23"/>
      <c r="BZ25" s="35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</row>
    <row r="26" spans="1:104">
      <c r="A26">
        <v>19</v>
      </c>
      <c r="B26" s="34" t="str">
        <f t="shared" si="4"/>
        <v>CpBrd1V0</v>
      </c>
      <c r="C26" s="111" t="s">
        <v>38</v>
      </c>
      <c r="D26" s="111"/>
      <c r="E26" s="111"/>
      <c r="F26" s="111"/>
      <c r="G26" s="111"/>
      <c r="H26" s="111"/>
      <c r="I26" s="23"/>
      <c r="J26" s="105">
        <v>0</v>
      </c>
      <c r="K26" s="106"/>
      <c r="L26" s="106"/>
      <c r="M26" s="107"/>
      <c r="N26" s="23"/>
      <c r="O26" s="16">
        <v>0</v>
      </c>
      <c r="P26" s="22"/>
      <c r="Q26" s="23"/>
      <c r="R26" s="11" t="s">
        <v>14</v>
      </c>
      <c r="S26" s="23"/>
      <c r="T26" s="34" t="str">
        <f t="shared" si="11"/>
        <v>CjVramMin0V95</v>
      </c>
      <c r="U26" s="111" t="s">
        <v>72</v>
      </c>
      <c r="V26" s="111"/>
      <c r="W26" s="111"/>
      <c r="X26" s="111"/>
      <c r="Y26" s="111"/>
      <c r="Z26" s="111"/>
      <c r="AA26" s="23"/>
      <c r="AB26" s="105">
        <v>0</v>
      </c>
      <c r="AC26" s="106"/>
      <c r="AD26" s="106"/>
      <c r="AE26" s="107"/>
      <c r="AF26" s="23"/>
      <c r="AG26" s="16">
        <v>1</v>
      </c>
      <c r="AH26" s="22"/>
      <c r="AI26" s="23"/>
      <c r="AJ26" s="11" t="s">
        <v>14</v>
      </c>
      <c r="AK26" s="23"/>
      <c r="AL26" s="34" t="str">
        <f t="shared" si="5"/>
        <v>PolL2Vdd_I4</v>
      </c>
      <c r="AM26" s="130" t="s">
        <v>296</v>
      </c>
      <c r="AN26" s="130"/>
      <c r="AO26" s="130"/>
      <c r="AP26" s="130"/>
      <c r="AQ26" s="130"/>
      <c r="AR26" s="130"/>
      <c r="AS26" s="23"/>
      <c r="AT26" s="105">
        <v>0</v>
      </c>
      <c r="AU26" s="106"/>
      <c r="AV26" s="106"/>
      <c r="AW26" s="107"/>
      <c r="AX26" s="23"/>
      <c r="AY26" s="16">
        <v>0</v>
      </c>
      <c r="AZ26" s="22"/>
      <c r="BA26" s="23"/>
      <c r="BB26" s="11" t="s">
        <v>0</v>
      </c>
      <c r="BC26" s="35"/>
      <c r="BD26" s="35">
        <f t="shared" si="9"/>
        <v>10</v>
      </c>
      <c r="BE26" s="35">
        <f t="shared" si="10"/>
        <v>16</v>
      </c>
      <c r="BF26" s="59">
        <f t="shared" si="6"/>
        <v>13</v>
      </c>
      <c r="BJ26" s="35" t="str">
        <f t="shared" si="7"/>
        <v>{CpBrd1V0, "CP Brd 1V0", 19, 1, 0, 0, 19, 19,"V"},</v>
      </c>
      <c r="BK26" s="35" t="str">
        <f t="shared" si="2"/>
        <v>{CjVramMin0V95, "CJ Vram min 0V95", 19, 28, 0, 1, 19, 46,"V"},</v>
      </c>
      <c r="BL26" s="35" t="str">
        <f t="shared" si="3"/>
        <v>{PolL2Vdd_I4, "POL L2 VDD_I4", 19, 55, 0, 0, 19, 73,"A"},</v>
      </c>
      <c r="BM26" s="23"/>
      <c r="BN26" s="35"/>
      <c r="BO26" s="35"/>
      <c r="BP26" s="35"/>
      <c r="BQ26" s="35"/>
      <c r="BR26" s="35"/>
      <c r="BS26" s="35"/>
      <c r="BT26" s="35"/>
      <c r="BU26" s="35"/>
      <c r="BV26" s="35"/>
      <c r="BW26" s="23"/>
      <c r="BX26" s="23"/>
      <c r="BY26" s="23"/>
      <c r="BZ26" s="35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</row>
    <row r="27" spans="1:104">
      <c r="A27">
        <v>20</v>
      </c>
      <c r="B27" s="34" t="str">
        <f t="shared" si="4"/>
        <v>Pex1V0</v>
      </c>
      <c r="C27" s="111" t="s">
        <v>57</v>
      </c>
      <c r="D27" s="111"/>
      <c r="E27" s="111"/>
      <c r="F27" s="111"/>
      <c r="G27" s="111"/>
      <c r="H27" s="111"/>
      <c r="I27" s="23"/>
      <c r="J27" s="105">
        <v>0</v>
      </c>
      <c r="K27" s="106"/>
      <c r="L27" s="106"/>
      <c r="M27" s="107"/>
      <c r="N27" s="23"/>
      <c r="O27" s="16">
        <v>0</v>
      </c>
      <c r="P27" s="22"/>
      <c r="Q27" s="23"/>
      <c r="R27" s="11" t="s">
        <v>14</v>
      </c>
      <c r="S27" s="23"/>
      <c r="T27" s="34" t="str">
        <f t="shared" si="11"/>
        <v>CjVramMax0V95</v>
      </c>
      <c r="U27" s="111" t="s">
        <v>73</v>
      </c>
      <c r="V27" s="111"/>
      <c r="W27" s="111"/>
      <c r="X27" s="111"/>
      <c r="Y27" s="111"/>
      <c r="Z27" s="111"/>
      <c r="AA27" s="23"/>
      <c r="AB27" s="105">
        <v>0</v>
      </c>
      <c r="AC27" s="106"/>
      <c r="AD27" s="106"/>
      <c r="AE27" s="107"/>
      <c r="AF27" s="23"/>
      <c r="AG27" s="16">
        <v>1</v>
      </c>
      <c r="AH27" s="22"/>
      <c r="AI27" s="23"/>
      <c r="AJ27" s="11" t="s">
        <v>14</v>
      </c>
      <c r="AK27" s="23"/>
      <c r="AL27" s="34" t="str">
        <f t="shared" si="5"/>
        <v>PolL2Vdd_I5</v>
      </c>
      <c r="AM27" s="130" t="s">
        <v>297</v>
      </c>
      <c r="AN27" s="130"/>
      <c r="AO27" s="130"/>
      <c r="AP27" s="130"/>
      <c r="AQ27" s="130"/>
      <c r="AR27" s="130"/>
      <c r="AS27" s="23"/>
      <c r="AT27" s="105">
        <v>0</v>
      </c>
      <c r="AU27" s="106"/>
      <c r="AV27" s="106"/>
      <c r="AW27" s="107"/>
      <c r="AX27" s="23"/>
      <c r="AY27" s="16">
        <v>0</v>
      </c>
      <c r="AZ27" s="22"/>
      <c r="BA27" s="23"/>
      <c r="BB27" s="11" t="s">
        <v>0</v>
      </c>
      <c r="BC27" s="35"/>
      <c r="BD27" s="35">
        <f t="shared" si="9"/>
        <v>7</v>
      </c>
      <c r="BE27" s="35">
        <f t="shared" si="10"/>
        <v>13</v>
      </c>
      <c r="BF27" s="59">
        <f t="shared" si="6"/>
        <v>13</v>
      </c>
      <c r="BJ27" s="35" t="str">
        <f t="shared" si="7"/>
        <v>{Pex1V0, "PEX 1V0", 20, 1, 0, 0, 20, 19,"V"},</v>
      </c>
      <c r="BK27" s="35" t="str">
        <f t="shared" si="2"/>
        <v>{CjVramMax0V95, "CJ Vram max 0V95", 20, 28, 0, 1, 20, 46,"V"},</v>
      </c>
      <c r="BL27" s="35" t="str">
        <f t="shared" si="3"/>
        <v>{PolL2Vdd_I5, "POL L2 VDD_I5", 20, 55, 0, 0, 20, 73,"A"},</v>
      </c>
      <c r="BM27" s="23"/>
      <c r="BN27" s="35"/>
      <c r="BO27" s="35"/>
      <c r="BP27" s="35"/>
      <c r="BQ27" s="35"/>
      <c r="BR27" s="35"/>
      <c r="BS27" s="35"/>
      <c r="BT27" s="35"/>
      <c r="BU27" s="35"/>
      <c r="BV27" s="35"/>
      <c r="BW27" s="23"/>
      <c r="BX27" s="23"/>
      <c r="BY27" s="23"/>
      <c r="BZ27" s="35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</row>
    <row r="28" spans="1:104">
      <c r="A28">
        <v>21</v>
      </c>
      <c r="B28" s="34" t="str">
        <f t="shared" si="4"/>
        <v>RoboBrd1V2</v>
      </c>
      <c r="C28" s="111" t="s">
        <v>55</v>
      </c>
      <c r="D28" s="111"/>
      <c r="E28" s="111"/>
      <c r="F28" s="111"/>
      <c r="G28" s="111"/>
      <c r="H28" s="111"/>
      <c r="I28" s="23"/>
      <c r="J28" s="105">
        <v>0</v>
      </c>
      <c r="K28" s="106"/>
      <c r="L28" s="106"/>
      <c r="M28" s="107"/>
      <c r="N28" s="23"/>
      <c r="O28" s="16">
        <v>0</v>
      </c>
      <c r="P28" s="22"/>
      <c r="Q28" s="23"/>
      <c r="R28" s="11" t="s">
        <v>14</v>
      </c>
      <c r="S28" s="23"/>
      <c r="T28" s="34" t="str">
        <f t="shared" si="11"/>
        <v>CjVccaux1V8</v>
      </c>
      <c r="U28" s="111" t="s">
        <v>36</v>
      </c>
      <c r="V28" s="111"/>
      <c r="W28" s="111"/>
      <c r="X28" s="111"/>
      <c r="Y28" s="111"/>
      <c r="Z28" s="111"/>
      <c r="AA28" s="23"/>
      <c r="AB28" s="105">
        <v>0</v>
      </c>
      <c r="AC28" s="106"/>
      <c r="AD28" s="106"/>
      <c r="AE28" s="107"/>
      <c r="AF28" s="23"/>
      <c r="AG28" s="16">
        <v>0</v>
      </c>
      <c r="AH28" s="22"/>
      <c r="AI28" s="23"/>
      <c r="AJ28" s="11" t="s">
        <v>14</v>
      </c>
      <c r="AK28" s="23"/>
      <c r="AL28" s="34" t="str">
        <f t="shared" si="5"/>
        <v>PolL2Vdd_It</v>
      </c>
      <c r="AM28" s="130" t="s">
        <v>298</v>
      </c>
      <c r="AN28" s="130"/>
      <c r="AO28" s="130"/>
      <c r="AP28" s="130"/>
      <c r="AQ28" s="130"/>
      <c r="AR28" s="130"/>
      <c r="AS28" s="23"/>
      <c r="AT28" s="105">
        <v>0</v>
      </c>
      <c r="AU28" s="106"/>
      <c r="AV28" s="106"/>
      <c r="AW28" s="107"/>
      <c r="AX28" s="23"/>
      <c r="AY28" s="16">
        <v>0</v>
      </c>
      <c r="AZ28" s="22"/>
      <c r="BA28" s="23"/>
      <c r="BB28" s="11" t="s">
        <v>0</v>
      </c>
      <c r="BC28" s="35"/>
      <c r="BD28" s="35">
        <f t="shared" si="9"/>
        <v>12</v>
      </c>
      <c r="BE28" s="35">
        <f t="shared" si="10"/>
        <v>15</v>
      </c>
      <c r="BF28" s="59">
        <f t="shared" si="6"/>
        <v>13</v>
      </c>
      <c r="BJ28" s="35" t="str">
        <f t="shared" si="7"/>
        <v>{RoboBrd1V2, "Robo Brd 1V2", 21, 1, 0, 0, 21, 19,"V"},</v>
      </c>
      <c r="BK28" s="35" t="str">
        <f t="shared" si="2"/>
        <v>{CjVccaux1V8, "CJ Vccaux 1V8", 21, 28, 0, 0, 21, 46,"V"},</v>
      </c>
      <c r="BL28" s="35" t="str">
        <f t="shared" si="3"/>
        <v>{PolL2Vdd_It, "POL L2 VDD_It", 21, 55, 0, 0, 21, 73,"A"},</v>
      </c>
      <c r="BM28" s="23"/>
      <c r="BN28" s="35"/>
      <c r="BO28" s="35"/>
      <c r="BP28" s="35"/>
      <c r="BQ28" s="35"/>
      <c r="BR28" s="35"/>
      <c r="BS28" s="35"/>
      <c r="BT28" s="35"/>
      <c r="BU28" s="35"/>
      <c r="BV28" s="35"/>
      <c r="BW28" s="23"/>
      <c r="BX28" s="23"/>
      <c r="BY28" s="23"/>
      <c r="BZ28" s="35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</row>
    <row r="29" spans="1:104">
      <c r="A29">
        <v>22</v>
      </c>
      <c r="B29" s="34" t="str">
        <f t="shared" si="4"/>
        <v>Nco1V8</v>
      </c>
      <c r="C29" s="142" t="s">
        <v>52</v>
      </c>
      <c r="D29" s="142"/>
      <c r="E29" s="142"/>
      <c r="F29" s="142"/>
      <c r="G29" s="142"/>
      <c r="H29" s="142"/>
      <c r="I29" s="23"/>
      <c r="J29" s="105">
        <v>0</v>
      </c>
      <c r="K29" s="106"/>
      <c r="L29" s="106"/>
      <c r="M29" s="107"/>
      <c r="N29" s="23"/>
      <c r="O29" s="16">
        <v>0</v>
      </c>
      <c r="P29" s="22"/>
      <c r="Q29" s="23"/>
      <c r="R29" s="11" t="s">
        <v>14</v>
      </c>
      <c r="S29" s="23"/>
      <c r="T29" s="34" t="str">
        <f t="shared" si="11"/>
        <v>CjVauxMin1V8</v>
      </c>
      <c r="U29" s="111" t="s">
        <v>74</v>
      </c>
      <c r="V29" s="111"/>
      <c r="W29" s="111"/>
      <c r="X29" s="111"/>
      <c r="Y29" s="111"/>
      <c r="Z29" s="111"/>
      <c r="AA29" s="23"/>
      <c r="AB29" s="105">
        <v>0</v>
      </c>
      <c r="AC29" s="106"/>
      <c r="AD29" s="106"/>
      <c r="AE29" s="107"/>
      <c r="AF29" s="23"/>
      <c r="AG29" s="16">
        <v>0</v>
      </c>
      <c r="AH29" s="22"/>
      <c r="AI29" s="23"/>
      <c r="AJ29" s="11" t="s">
        <v>14</v>
      </c>
      <c r="AK29" s="23"/>
      <c r="AL29" s="34" t="str">
        <f t="shared" si="5"/>
        <v>L2Avdd1V0</v>
      </c>
      <c r="AM29" s="130" t="s">
        <v>28</v>
      </c>
      <c r="AN29" s="130"/>
      <c r="AO29" s="130"/>
      <c r="AP29" s="130"/>
      <c r="AQ29" s="130"/>
      <c r="AR29" s="130"/>
      <c r="AS29" s="23"/>
      <c r="AT29" s="105">
        <v>0</v>
      </c>
      <c r="AU29" s="106"/>
      <c r="AV29" s="106"/>
      <c r="AW29" s="107"/>
      <c r="AX29" s="23"/>
      <c r="AY29" s="16">
        <v>1</v>
      </c>
      <c r="AZ29" s="22"/>
      <c r="BA29" s="23"/>
      <c r="BB29" s="11" t="s">
        <v>14</v>
      </c>
      <c r="BC29" s="35"/>
      <c r="BD29" s="35">
        <f t="shared" si="9"/>
        <v>7</v>
      </c>
      <c r="BE29" s="35">
        <f t="shared" si="10"/>
        <v>15</v>
      </c>
      <c r="BF29" s="59">
        <f t="shared" si="6"/>
        <v>11</v>
      </c>
      <c r="BJ29" s="35" t="str">
        <f t="shared" si="7"/>
        <v>{Nco1V8, "NCO 1V8", 22, 1, 0, 0, 22, 19,"V"},</v>
      </c>
      <c r="BK29" s="35" t="str">
        <f t="shared" si="2"/>
        <v>{CjVauxMin1V8, "CJ Vaux min 1V8", 22, 28, 0, 0, 22, 46,"V"},</v>
      </c>
      <c r="BL29" s="35" t="str">
        <f t="shared" si="3"/>
        <v>{L2Avdd1V0, "L2 AVDD 1V0", 22, 55, 0, 1, 22, 73,"V"},</v>
      </c>
      <c r="BM29" s="23"/>
      <c r="BN29" s="35"/>
      <c r="BO29" s="35"/>
      <c r="BP29" s="35"/>
      <c r="BQ29" s="35"/>
      <c r="BR29" s="35"/>
      <c r="BS29" s="35"/>
      <c r="BT29" s="35"/>
      <c r="BU29" s="35"/>
      <c r="BV29" s="35"/>
      <c r="BW29" s="23"/>
      <c r="BX29" s="23"/>
      <c r="BY29" s="23"/>
      <c r="BZ29" s="35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</row>
    <row r="30" spans="1:104">
      <c r="A30">
        <v>23</v>
      </c>
      <c r="B30" s="34" t="str">
        <f t="shared" si="4"/>
        <v>CpBrd1V8</v>
      </c>
      <c r="C30" s="111" t="s">
        <v>251</v>
      </c>
      <c r="D30" s="111"/>
      <c r="E30" s="111"/>
      <c r="F30" s="111"/>
      <c r="G30" s="111"/>
      <c r="H30" s="111"/>
      <c r="I30" s="23"/>
      <c r="J30" s="105">
        <v>0</v>
      </c>
      <c r="K30" s="106"/>
      <c r="L30" s="106"/>
      <c r="M30" s="107"/>
      <c r="N30" s="23"/>
      <c r="O30" s="16">
        <v>0</v>
      </c>
      <c r="P30" s="22"/>
      <c r="Q30" s="23"/>
      <c r="R30" s="11" t="s">
        <v>14</v>
      </c>
      <c r="S30" s="23"/>
      <c r="T30" s="34" t="str">
        <f t="shared" si="11"/>
        <v>CjVauxMax1V8</v>
      </c>
      <c r="U30" s="111" t="s">
        <v>75</v>
      </c>
      <c r="V30" s="111"/>
      <c r="W30" s="111"/>
      <c r="X30" s="111"/>
      <c r="Y30" s="111"/>
      <c r="Z30" s="111"/>
      <c r="AA30" s="23"/>
      <c r="AB30" s="105">
        <v>0</v>
      </c>
      <c r="AC30" s="106"/>
      <c r="AD30" s="106"/>
      <c r="AE30" s="107"/>
      <c r="AF30" s="23"/>
      <c r="AG30" s="16">
        <v>0</v>
      </c>
      <c r="AH30" s="22"/>
      <c r="AI30" s="23"/>
      <c r="AJ30" s="11" t="s">
        <v>14</v>
      </c>
      <c r="AK30" s="23"/>
      <c r="AL30" s="34" t="str">
        <f t="shared" si="5"/>
        <v>PolL2Avdd_V</v>
      </c>
      <c r="AM30" s="130" t="s">
        <v>262</v>
      </c>
      <c r="AN30" s="130"/>
      <c r="AO30" s="130"/>
      <c r="AP30" s="130"/>
      <c r="AQ30" s="130"/>
      <c r="AR30" s="130"/>
      <c r="AS30" s="23"/>
      <c r="AT30" s="105">
        <v>0</v>
      </c>
      <c r="AU30" s="106"/>
      <c r="AV30" s="106"/>
      <c r="AW30" s="107"/>
      <c r="AX30" s="23"/>
      <c r="AY30" s="16">
        <v>1</v>
      </c>
      <c r="AZ30" s="22"/>
      <c r="BA30" s="23"/>
      <c r="BB30" s="11" t="s">
        <v>14</v>
      </c>
      <c r="BC30" s="35"/>
      <c r="BD30" s="35">
        <f>LEN(C31)</f>
        <v>7</v>
      </c>
      <c r="BE30" s="35">
        <f t="shared" si="10"/>
        <v>10</v>
      </c>
      <c r="BF30" s="59">
        <f t="shared" si="6"/>
        <v>13</v>
      </c>
      <c r="BJ30" s="35" t="str">
        <f t="shared" si="7"/>
        <v>{CpBrd1V8, "CP Brd 1V8", 23, 1, 0, 0, 23, 19,"V"},</v>
      </c>
      <c r="BK30" s="35" t="str">
        <f t="shared" si="2"/>
        <v>{CjVauxMax1V8, "CJ Vaux max 1V8", 23, 28, 0, 0, 23, 46,"V"},</v>
      </c>
      <c r="BL30" s="35" t="str">
        <f t="shared" si="3"/>
        <v>{PolL2Avdd_V, "POL L2 AVDD_V", 23, 55, 0, 1, 23, 73,"V"},</v>
      </c>
      <c r="BM30" s="23"/>
      <c r="BN30" s="35"/>
      <c r="BO30" s="35"/>
      <c r="BP30" s="35"/>
      <c r="BQ30" s="35"/>
      <c r="BR30" s="35"/>
      <c r="BS30" s="35"/>
      <c r="BT30" s="35"/>
      <c r="BU30" s="35"/>
      <c r="BV30" s="35"/>
      <c r="BW30" s="23"/>
      <c r="BX30" s="23"/>
      <c r="BY30" s="23"/>
      <c r="BZ30" s="35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</row>
    <row r="31" spans="1:104" ht="15" thickBot="1">
      <c r="A31">
        <v>24</v>
      </c>
      <c r="B31" s="54" t="str">
        <f>SUBSTITUTE(PROPER(C31)," ","")</f>
        <v>Brd2V5</v>
      </c>
      <c r="C31" s="118" t="s">
        <v>20</v>
      </c>
      <c r="D31" s="118"/>
      <c r="E31" s="118"/>
      <c r="F31" s="118"/>
      <c r="G31" s="118"/>
      <c r="H31" s="118"/>
      <c r="I31" s="37"/>
      <c r="J31" s="131">
        <v>0</v>
      </c>
      <c r="K31" s="132"/>
      <c r="L31" s="132"/>
      <c r="M31" s="133"/>
      <c r="N31" s="37"/>
      <c r="O31" s="57">
        <v>0</v>
      </c>
      <c r="P31" s="55"/>
      <c r="Q31" s="37"/>
      <c r="R31" s="56" t="s">
        <v>14</v>
      </c>
      <c r="S31" s="37"/>
      <c r="T31" s="54" t="str">
        <f t="shared" si="11"/>
        <v>CjMgt1V0</v>
      </c>
      <c r="U31" s="118" t="s">
        <v>50</v>
      </c>
      <c r="V31" s="118"/>
      <c r="W31" s="118"/>
      <c r="X31" s="118"/>
      <c r="Y31" s="118"/>
      <c r="Z31" s="118"/>
      <c r="AA31" s="37"/>
      <c r="AB31" s="131">
        <v>0</v>
      </c>
      <c r="AC31" s="132"/>
      <c r="AD31" s="132"/>
      <c r="AE31" s="133"/>
      <c r="AF31" s="37"/>
      <c r="AG31" s="57">
        <v>1</v>
      </c>
      <c r="AH31" s="55"/>
      <c r="AI31" s="37"/>
      <c r="AJ31" s="56" t="s">
        <v>14</v>
      </c>
      <c r="AK31" s="37"/>
      <c r="AL31" s="54" t="str">
        <f t="shared" si="5"/>
        <v>PolL2Avdd_I</v>
      </c>
      <c r="AM31" s="134" t="s">
        <v>263</v>
      </c>
      <c r="AN31" s="134"/>
      <c r="AO31" s="134"/>
      <c r="AP31" s="134"/>
      <c r="AQ31" s="134"/>
      <c r="AR31" s="134"/>
      <c r="AS31" s="37"/>
      <c r="AT31" s="131">
        <v>0</v>
      </c>
      <c r="AU31" s="132"/>
      <c r="AV31" s="132"/>
      <c r="AW31" s="133"/>
      <c r="AX31" s="37"/>
      <c r="AY31" s="57">
        <v>0</v>
      </c>
      <c r="AZ31" s="55"/>
      <c r="BA31" s="37"/>
      <c r="BB31" s="56" t="s">
        <v>0</v>
      </c>
      <c r="BC31" s="38"/>
      <c r="BD31" s="38">
        <f>LEN(U8)</f>
        <v>9</v>
      </c>
      <c r="BE31" s="38">
        <f t="shared" si="10"/>
        <v>0</v>
      </c>
      <c r="BF31" s="61">
        <f t="shared" si="6"/>
        <v>13</v>
      </c>
      <c r="BJ31" s="35" t="str">
        <f t="shared" si="7"/>
        <v>{Brd2V5, "Brd 2V5", 24, 1, 0, 0, 24, 19,"V"},</v>
      </c>
      <c r="BK31" s="35" t="str">
        <f t="shared" si="2"/>
        <v>{CjMgt1V0, "CJ MGT 1V0", 24, 28, 0, 1, 24, 46,"V"},</v>
      </c>
      <c r="BL31" s="35" t="str">
        <f t="shared" si="3"/>
        <v>{PolL2Avdd_I, "POL L2 AVDD_I", 24, 55, 0, 0, 24, 73,"A"},</v>
      </c>
      <c r="BM31" s="23"/>
      <c r="BN31" s="35"/>
      <c r="BO31" s="35"/>
      <c r="BP31" s="35"/>
      <c r="BQ31" s="35"/>
      <c r="BR31" s="35"/>
      <c r="BS31" s="35"/>
      <c r="BT31" s="35"/>
      <c r="BU31" s="35"/>
      <c r="BV31" s="35"/>
      <c r="BW31" s="23"/>
      <c r="BX31" s="23"/>
      <c r="BY31" s="23"/>
      <c r="BZ31" s="35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</row>
    <row r="32" spans="1:104">
      <c r="A32">
        <v>25</v>
      </c>
      <c r="C32" s="139" t="s">
        <v>29</v>
      </c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1"/>
    </row>
    <row r="33" spans="36:121">
      <c r="AJ33" s="23"/>
      <c r="DN33">
        <v>0</v>
      </c>
    </row>
    <row r="34" spans="36:121">
      <c r="BL34" s="51"/>
      <c r="BN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</row>
    <row r="35" spans="36:121">
      <c r="CA35" s="51"/>
    </row>
    <row r="36" spans="36:121">
      <c r="AQ36" s="23"/>
      <c r="AR36" s="23"/>
      <c r="AS36" s="23"/>
      <c r="AT36" s="35"/>
      <c r="AU36" s="35"/>
      <c r="AV36" s="35"/>
      <c r="AW36" s="35"/>
      <c r="AX36" s="35"/>
      <c r="AY36" s="35" t="s">
        <v>291</v>
      </c>
      <c r="AZ36" s="35"/>
      <c r="BA36" s="35"/>
      <c r="BB36" s="23"/>
      <c r="BC36" s="23"/>
      <c r="BD36" s="23"/>
      <c r="BE36" s="23"/>
      <c r="BF36" s="23"/>
      <c r="BG36" s="23"/>
      <c r="BH36" s="23"/>
      <c r="BI36" s="23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</row>
    <row r="37" spans="36:121">
      <c r="AQ37" s="23"/>
      <c r="AR37" s="23"/>
      <c r="AS37" s="23"/>
      <c r="AT37" s="35"/>
      <c r="AU37" s="35"/>
      <c r="AV37" s="35"/>
      <c r="AW37" s="35"/>
      <c r="AX37" s="35"/>
      <c r="AY37" s="35" t="s">
        <v>290</v>
      </c>
      <c r="AZ37" s="35"/>
      <c r="BA37" s="35"/>
      <c r="BB37" s="23"/>
      <c r="BC37" s="23"/>
      <c r="BD37" s="23"/>
      <c r="BE37" s="23"/>
      <c r="BF37" s="23"/>
      <c r="BG37" s="23"/>
      <c r="BH37" s="23"/>
      <c r="BI37" s="23"/>
      <c r="BX37" s="51"/>
      <c r="CB37" s="51"/>
      <c r="CT37" s="51"/>
    </row>
    <row r="38" spans="36:121">
      <c r="AQ38" s="23"/>
      <c r="AR38" s="23" t="s">
        <v>311</v>
      </c>
      <c r="AS38" s="23"/>
      <c r="AT38" s="35"/>
      <c r="AU38" s="35"/>
      <c r="AV38" s="35"/>
      <c r="AW38" s="35"/>
      <c r="AX38" s="35"/>
      <c r="AY38" s="35"/>
      <c r="AZ38" s="35"/>
      <c r="BA38" s="43" t="str">
        <f>"{"&amp;$B$8&amp;",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{PsVccint1V0, CpSw2V5, PolMgt1V0_V, PsVintMin1V0, Brd3V3, PolMgt1V0_I, PsVintMax1V0, Pol3V3_V, CjMgt1V2, PsVccaux1V8, Pol3V3_I, PolMgt1V2_V, PsVauxMin1V8, CpSw3V3, PolMgt1V2_I, PsVauxMax1V8, CjSw3V3, CjMgt1V8, PlVbram1V0, Cu3V3, Blank54, PlVbramMin1V0, Brd5V0, Blank55,</v>
      </c>
      <c r="BB38" s="23"/>
      <c r="BC38" s="23"/>
      <c r="BD38" s="23"/>
      <c r="BE38" s="23"/>
      <c r="BF38" s="23"/>
      <c r="BG38" s="23"/>
      <c r="BH38" s="23"/>
      <c r="BI38" s="23"/>
      <c r="BJ38" s="51"/>
      <c r="CE38" s="51"/>
    </row>
    <row r="39" spans="36:121">
      <c r="AQ39" s="23"/>
      <c r="AR39" s="23"/>
      <c r="AS39" s="23"/>
      <c r="AT39" s="35"/>
      <c r="AU39" s="35"/>
      <c r="AV39" s="35"/>
      <c r="AW39" s="35"/>
      <c r="AX39" s="35"/>
      <c r="AY39" s="35"/>
      <c r="AZ39" s="35"/>
      <c r="BA39" s="43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PlVbramMax1V0, Brd12V0, Blank56, PsVccmem1V35, Dspy12V0, L21V8, PsVmemMin1V35, CjVccint0V95, L22V5, PsVmemMax1V35, CjVintMin0V95, L2Pll1V0, BrdDdr31V35, CjVintMax0V95, L2Vdd0V95, PsDdr30V675, PolVint1V0_V, PolL2Vdd_V, PlDdr30V675, PolVint1V0_I0, PolL2Vdd_I0, PlMgt1V0, PolVint1V0_I1, PolL2Vdd_I1,</v>
      </c>
      <c r="BB39" s="23"/>
      <c r="BC39" s="23"/>
      <c r="BD39" s="23"/>
      <c r="BE39" s="23"/>
      <c r="BF39" s="23"/>
      <c r="BG39" s="23"/>
      <c r="BH39" s="23"/>
      <c r="BI39" s="23"/>
    </row>
    <row r="40" spans="36:121">
      <c r="AQ40" s="23"/>
      <c r="AR40" s="23"/>
      <c r="AS40" s="23"/>
      <c r="AT40" s="35"/>
      <c r="AU40" s="35"/>
      <c r="AV40" s="35"/>
      <c r="AW40" s="35"/>
      <c r="AX40" s="35"/>
      <c r="AY40" s="35"/>
      <c r="AZ40" s="35"/>
      <c r="BA40" s="4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PlMgt1V2, PolVint1V_It, PolL2Vdd_I2, PlMgt1V8, CjVbram0V95, PolL2Vdd_I3, CpBrd1V0, CjVramMin0V95, PolL2Vdd_I4, Pex1V0, CjVramMax0V95, PolL2Vdd_I5, RoboBrd1V2, CjVccaux1V8, PolL2Vdd_It, Nco1V8, CjVauxMin1V8, L2Avdd1V0, CpBrd1V8, CjVauxMax1V8, PolL2Avdd_V, Brd2V5, CjMgt1V0, PolL2Avdd_I,</v>
      </c>
      <c r="BB40" s="23"/>
      <c r="BC40" s="23"/>
      <c r="BD40" s="23"/>
      <c r="BE40" s="23"/>
      <c r="BF40" s="23"/>
      <c r="BG40" s="23"/>
      <c r="BH40" s="23"/>
      <c r="BI40" s="23"/>
      <c r="BJ40" s="51"/>
    </row>
    <row r="41" spans="36:121">
      <c r="AQ41" s="23"/>
      <c r="AR41" s="23"/>
      <c r="AS41" s="23"/>
      <c r="AT41" s="35"/>
      <c r="AU41" s="35"/>
      <c r="AV41" s="35"/>
      <c r="AW41" s="35"/>
      <c r="AX41" s="35"/>
      <c r="AY41" s="35"/>
      <c r="AZ41" s="35"/>
      <c r="BA41" s="35"/>
      <c r="BB41" s="23"/>
      <c r="BC41" s="23"/>
      <c r="BD41" s="23"/>
      <c r="BE41" s="23"/>
      <c r="BF41" s="23"/>
      <c r="BG41" s="23"/>
      <c r="BH41" s="23"/>
      <c r="BI41" s="23"/>
    </row>
    <row r="42" spans="36:121">
      <c r="AQ42" s="23"/>
      <c r="AR42" s="23" t="s">
        <v>311</v>
      </c>
      <c r="AS42" s="23"/>
      <c r="AT42" s="35"/>
      <c r="AU42" s="35"/>
      <c r="AV42" s="35"/>
      <c r="AW42" s="35"/>
      <c r="AX42" s="35"/>
      <c r="AY42" s="35"/>
      <c r="AZ42" s="35"/>
      <c r="BA42" s="35" t="str">
        <f>'Scr2'!BJ42</f>
        <v xml:space="preserve">PolL2Vdd_T, Psu1Vin, Psu2Vin, PolVint1V0_T, Psu1Iin, Psu2Iin, BrdLocal1_T, Psu1Pin, Psu2Pin, CpDieRmt_T, Psu1Vout, Psu2Vout, CpXadcDie_T, Psu1Iout, Psu2Iout, CpAdcMinDie_T, Psu1Pout, Psu2Pout, CpAdcMaxDie_T, BrdLocal2_T, </v>
      </c>
      <c r="BB42" s="23"/>
      <c r="BC42" s="23"/>
      <c r="BD42" s="23"/>
      <c r="BE42" s="23"/>
      <c r="BF42" s="23"/>
      <c r="BG42" s="23"/>
      <c r="BH42" s="23"/>
      <c r="BI42" s="23"/>
      <c r="BK42" s="35"/>
      <c r="BL42" s="35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</row>
    <row r="43" spans="36:121">
      <c r="AQ43" s="23"/>
      <c r="AR43" s="23"/>
      <c r="AS43" s="23"/>
      <c r="AT43" s="35"/>
      <c r="AU43" s="35"/>
      <c r="AV43" s="35"/>
      <c r="AW43" s="35"/>
      <c r="AX43" s="35"/>
      <c r="AY43" s="35"/>
      <c r="AZ43" s="35"/>
      <c r="BA43" s="35" t="str">
        <f>'Scr2'!BJ43</f>
        <v>CjDieRmt_T, CjXadcDie_T, Psu1FanSpd, Psu2FanSpd, CjAdcMinDie_T, Psu1Efficiency, Psu2Efficiency, CjAdcMaxDie_T, Cu1FanSpd1, Cu2FanSpd1, BrdLocal3_T, Cu1FanSpd2, Cu2FanSpd2, L2DieRmt_T, Cu1FanSpd3, Cu2FanSpd3, Psu1Hotspot_T, Cu1FanSpd4, Cu2FanSpd4, Psu1Inlet_T, Cu1FanSpd5, Cu2FanSpd5,</v>
      </c>
      <c r="BB43" s="23"/>
      <c r="BC43" s="23"/>
      <c r="BD43" s="23"/>
      <c r="BE43" s="23"/>
      <c r="BF43" s="23"/>
      <c r="BG43" s="23"/>
      <c r="BH43" s="23"/>
      <c r="BI43" s="23"/>
      <c r="BK43" s="35"/>
      <c r="BL43" s="35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</row>
    <row r="44" spans="36:121">
      <c r="AQ44" s="23"/>
      <c r="AR44" s="23"/>
      <c r="AS44" s="23"/>
      <c r="AT44" s="35"/>
      <c r="AU44" s="35"/>
      <c r="AV44" s="35"/>
      <c r="AW44" s="35"/>
      <c r="AX44" s="35"/>
      <c r="AY44" s="35"/>
      <c r="AZ44" s="35"/>
      <c r="BA44" s="35" t="str">
        <f>'Scr2'!BJ44</f>
        <v>Psu1Exhaust_T, Cu1FanSpd6, Cu2FanSpd6, Psu2Hotspot_T, Cu1Temp1, Cu2Temp1, Psu2Inlet_T, Cu1Temp2, Cu2Temp2, Psu2Exhaust_T, Cu1Temp3, Cu2Temp3, Cu1CtrlTemp, Cu1Remote, Cu2CtrlTemp, Blank46, Blank70, Cu2Remote, Blank47, Blank71, Parm_Index_Last}</v>
      </c>
      <c r="BB44" s="23"/>
      <c r="BC44" s="23"/>
      <c r="BD44" s="23"/>
      <c r="BE44" s="23"/>
      <c r="BF44" s="23"/>
      <c r="BG44" s="23"/>
      <c r="BH44" s="23"/>
      <c r="BI44" s="23"/>
      <c r="BK44" s="35"/>
      <c r="BL44" s="35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</row>
    <row r="45" spans="36:121">
      <c r="AQ45" s="23"/>
      <c r="AR45" s="23"/>
      <c r="AS45" s="23"/>
      <c r="AT45" s="35"/>
      <c r="AU45" s="35"/>
      <c r="AV45" s="35"/>
      <c r="AW45" s="35"/>
      <c r="AX45" s="35"/>
      <c r="AY45" s="35" t="s">
        <v>289</v>
      </c>
      <c r="AZ45" s="35"/>
      <c r="BA45" s="35"/>
      <c r="BB45" s="23"/>
      <c r="BC45" s="23"/>
      <c r="BD45" s="23"/>
      <c r="BE45" s="23"/>
      <c r="BF45" s="23"/>
      <c r="BG45" s="23"/>
      <c r="BH45" s="23"/>
      <c r="BI45" s="23"/>
      <c r="BK45" s="35"/>
      <c r="BL45" s="35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</row>
    <row r="46" spans="36:121">
      <c r="BK46" s="35"/>
      <c r="BL46" s="35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</row>
    <row r="47" spans="36:121">
      <c r="BK47" s="35"/>
      <c r="BL47" s="35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</row>
    <row r="48" spans="36:121">
      <c r="BK48" s="35"/>
      <c r="BL48" s="35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</row>
    <row r="49" spans="1:121">
      <c r="BK49" s="35"/>
      <c r="BL49" s="35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</row>
    <row r="50" spans="1:121">
      <c r="BK50" s="35"/>
      <c r="BL50" s="35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</row>
    <row r="51" spans="1:121">
      <c r="BK51" s="35"/>
      <c r="BL51" s="35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</row>
    <row r="52" spans="1:121">
      <c r="A52">
        <v>1</v>
      </c>
      <c r="B52">
        <v>2</v>
      </c>
      <c r="C52">
        <v>3</v>
      </c>
      <c r="D52">
        <v>4</v>
      </c>
      <c r="E52">
        <v>5</v>
      </c>
      <c r="F52">
        <v>6</v>
      </c>
      <c r="G52">
        <v>7</v>
      </c>
      <c r="H52">
        <v>8</v>
      </c>
      <c r="I52">
        <v>9</v>
      </c>
      <c r="J52">
        <v>10</v>
      </c>
      <c r="K52">
        <v>11</v>
      </c>
      <c r="L52">
        <v>12</v>
      </c>
      <c r="M52">
        <v>13</v>
      </c>
      <c r="N52">
        <v>14</v>
      </c>
      <c r="O52">
        <v>15</v>
      </c>
      <c r="P52">
        <v>16</v>
      </c>
      <c r="Q52">
        <v>17</v>
      </c>
      <c r="R52">
        <v>18</v>
      </c>
      <c r="S52">
        <v>19</v>
      </c>
      <c r="T52">
        <v>20</v>
      </c>
      <c r="U52">
        <v>21</v>
      </c>
      <c r="V52">
        <v>22</v>
      </c>
      <c r="W52">
        <v>23</v>
      </c>
      <c r="X52">
        <v>24</v>
      </c>
      <c r="Y52">
        <v>25</v>
      </c>
      <c r="Z52">
        <v>26</v>
      </c>
      <c r="AA52">
        <v>27</v>
      </c>
      <c r="AB52">
        <v>28</v>
      </c>
      <c r="AC52">
        <v>29</v>
      </c>
      <c r="AD52">
        <v>30</v>
      </c>
      <c r="AE52">
        <v>31</v>
      </c>
      <c r="AF52">
        <v>32</v>
      </c>
      <c r="AG52">
        <v>33</v>
      </c>
      <c r="AH52">
        <v>34</v>
      </c>
      <c r="AI52">
        <v>35</v>
      </c>
      <c r="AJ52">
        <v>36</v>
      </c>
      <c r="AK52">
        <v>37</v>
      </c>
      <c r="AL52">
        <v>38</v>
      </c>
      <c r="AM52">
        <v>39</v>
      </c>
      <c r="AN52">
        <v>40</v>
      </c>
      <c r="AO52">
        <v>41</v>
      </c>
      <c r="AP52">
        <v>42</v>
      </c>
      <c r="AQ52">
        <v>43</v>
      </c>
      <c r="AR52">
        <v>44</v>
      </c>
      <c r="AS52">
        <v>45</v>
      </c>
      <c r="AT52">
        <v>46</v>
      </c>
      <c r="AU52">
        <v>47</v>
      </c>
      <c r="AV52">
        <v>48</v>
      </c>
      <c r="AW52">
        <v>49</v>
      </c>
      <c r="AX52">
        <v>50</v>
      </c>
      <c r="AY52">
        <v>51</v>
      </c>
      <c r="AZ52">
        <v>52</v>
      </c>
      <c r="BA52">
        <v>53</v>
      </c>
      <c r="BB52">
        <v>54</v>
      </c>
      <c r="BC52">
        <v>55</v>
      </c>
      <c r="BD52">
        <v>56</v>
      </c>
      <c r="BE52">
        <v>57</v>
      </c>
      <c r="BF52">
        <v>58</v>
      </c>
      <c r="BG52">
        <v>59</v>
      </c>
      <c r="BH52">
        <v>60</v>
      </c>
      <c r="BI52">
        <v>61</v>
      </c>
      <c r="BJ52">
        <v>62</v>
      </c>
      <c r="BK52">
        <v>63</v>
      </c>
      <c r="BL52">
        <v>64</v>
      </c>
      <c r="BM52">
        <v>65</v>
      </c>
      <c r="BN52">
        <v>66</v>
      </c>
      <c r="BO52">
        <v>67</v>
      </c>
      <c r="BP52">
        <v>68</v>
      </c>
      <c r="BQ52">
        <v>69</v>
      </c>
      <c r="BR52">
        <v>70</v>
      </c>
      <c r="BS52">
        <v>71</v>
      </c>
      <c r="BT52">
        <v>72</v>
      </c>
      <c r="BU52">
        <v>73</v>
      </c>
      <c r="BV52">
        <v>74</v>
      </c>
      <c r="BW52">
        <v>75</v>
      </c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</row>
    <row r="53" spans="1:121"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  <c r="DO53" s="23"/>
      <c r="DP53" s="23"/>
      <c r="DQ53" s="23"/>
    </row>
    <row r="59" spans="1:121">
      <c r="F59" s="111"/>
      <c r="G59" s="111"/>
      <c r="H59" s="111"/>
      <c r="I59" s="111"/>
      <c r="J59" s="111"/>
      <c r="K59" s="111"/>
    </row>
  </sheetData>
  <mergeCells count="142">
    <mergeCell ref="C20:H20"/>
    <mergeCell ref="U14:Z14"/>
    <mergeCell ref="U15:Z15"/>
    <mergeCell ref="U20:Z20"/>
    <mergeCell ref="U21:Z21"/>
    <mergeCell ref="U22:Z22"/>
    <mergeCell ref="AM18:AR18"/>
    <mergeCell ref="C26:H26"/>
    <mergeCell ref="C23:H23"/>
    <mergeCell ref="U23:Z23"/>
    <mergeCell ref="U26:Z26"/>
    <mergeCell ref="U31:Z31"/>
    <mergeCell ref="AM31:AR31"/>
    <mergeCell ref="C32:BD32"/>
    <mergeCell ref="U18:Z18"/>
    <mergeCell ref="J31:M31"/>
    <mergeCell ref="AM13:AR13"/>
    <mergeCell ref="AB31:AE31"/>
    <mergeCell ref="AT31:AW31"/>
    <mergeCell ref="AM9:AR9"/>
    <mergeCell ref="AM10:AR10"/>
    <mergeCell ref="AM11:AR11"/>
    <mergeCell ref="U17:Z17"/>
    <mergeCell ref="J30:M30"/>
    <mergeCell ref="AB30:AE30"/>
    <mergeCell ref="AM30:AR30"/>
    <mergeCell ref="AT30:AW30"/>
    <mergeCell ref="AM12:AR12"/>
    <mergeCell ref="AM17:AR17"/>
    <mergeCell ref="J29:M29"/>
    <mergeCell ref="C29:H29"/>
    <mergeCell ref="AB29:AE29"/>
    <mergeCell ref="AM29:AR29"/>
    <mergeCell ref="AM24:AR24"/>
    <mergeCell ref="C31:H31"/>
    <mergeCell ref="AT29:AW29"/>
    <mergeCell ref="C27:H27"/>
    <mergeCell ref="C28:H28"/>
    <mergeCell ref="J28:M28"/>
    <mergeCell ref="AB28:AE28"/>
    <mergeCell ref="AM28:AR28"/>
    <mergeCell ref="AT28:AW28"/>
    <mergeCell ref="U28:Z28"/>
    <mergeCell ref="AM27:AR27"/>
    <mergeCell ref="AT27:AW27"/>
    <mergeCell ref="AB25:AE25"/>
    <mergeCell ref="AM25:AR25"/>
    <mergeCell ref="AT25:AW25"/>
    <mergeCell ref="U24:Z24"/>
    <mergeCell ref="U25:Z25"/>
    <mergeCell ref="AM19:AR19"/>
    <mergeCell ref="U16:Z16"/>
    <mergeCell ref="AB16:AE16"/>
    <mergeCell ref="AT16:AW16"/>
    <mergeCell ref="AT22:AW22"/>
    <mergeCell ref="F59:K59"/>
    <mergeCell ref="J20:M20"/>
    <mergeCell ref="AM8:AR8"/>
    <mergeCell ref="AB20:AE20"/>
    <mergeCell ref="AM20:AR20"/>
    <mergeCell ref="U27:Z27"/>
    <mergeCell ref="U29:Z29"/>
    <mergeCell ref="U30:Z30"/>
    <mergeCell ref="J14:M14"/>
    <mergeCell ref="AB14:AE14"/>
    <mergeCell ref="J26:M26"/>
    <mergeCell ref="AB26:AE26"/>
    <mergeCell ref="AM26:AR26"/>
    <mergeCell ref="AM22:AR22"/>
    <mergeCell ref="C30:H30"/>
    <mergeCell ref="C14:H14"/>
    <mergeCell ref="J8:M8"/>
    <mergeCell ref="AB8:AE8"/>
    <mergeCell ref="C22:H22"/>
    <mergeCell ref="J22:M22"/>
    <mergeCell ref="AB22:AE22"/>
    <mergeCell ref="AM21:AR21"/>
    <mergeCell ref="C21:H21"/>
    <mergeCell ref="J16:M16"/>
    <mergeCell ref="C12:H12"/>
    <mergeCell ref="J12:M12"/>
    <mergeCell ref="AB12:AE12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U12:Z12"/>
    <mergeCell ref="C18:H18"/>
    <mergeCell ref="AT14:AW14"/>
    <mergeCell ref="AT21:AW21"/>
    <mergeCell ref="C25:H25"/>
    <mergeCell ref="J24:M24"/>
    <mergeCell ref="AB24:AE24"/>
    <mergeCell ref="AT24:AW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C16:H16"/>
    <mergeCell ref="C15:H15"/>
    <mergeCell ref="C24:H24"/>
    <mergeCell ref="J23:M23"/>
    <mergeCell ref="AB23:AE23"/>
    <mergeCell ref="AM23:AR23"/>
    <mergeCell ref="AT23:AW23"/>
    <mergeCell ref="J21:M21"/>
    <mergeCell ref="AB21:AE21"/>
    <mergeCell ref="J27:M27"/>
    <mergeCell ref="AB27:AE27"/>
    <mergeCell ref="AT13:AW13"/>
    <mergeCell ref="AT12:AW12"/>
    <mergeCell ref="AT11:AW11"/>
    <mergeCell ref="AT10:AW10"/>
    <mergeCell ref="AT8:AW8"/>
    <mergeCell ref="J9:M9"/>
    <mergeCell ref="AB9:AE9"/>
    <mergeCell ref="AT9:AW9"/>
    <mergeCell ref="U9:Z9"/>
    <mergeCell ref="U13:Z13"/>
    <mergeCell ref="AM14:AR14"/>
    <mergeCell ref="AM15:AR15"/>
    <mergeCell ref="J15:M15"/>
    <mergeCell ref="AB15:AE15"/>
    <mergeCell ref="AT15:AW15"/>
    <mergeCell ref="J18:M18"/>
    <mergeCell ref="AB18:AE18"/>
    <mergeCell ref="AT26:AW26"/>
    <mergeCell ref="AM16:AR16"/>
    <mergeCell ref="J25:M25"/>
  </mergeCells>
  <conditionalFormatting sqref="C31:H31 C8:H28 U8:Z31 AM17:AM20 AM21:AR31 AM8:AR16">
    <cfRule type="cellIs" dxfId="36" priority="18" operator="lessThan">
      <formula>17</formula>
    </cfRule>
  </conditionalFormatting>
  <conditionalFormatting sqref="C31 C8:C28 F9:F12 U8:U31 AM8:AM31">
    <cfRule type="cellIs" dxfId="35" priority="16" operator="lessThan">
      <formula>16</formula>
    </cfRule>
  </conditionalFormatting>
  <conditionalFormatting sqref="BD9 BD12 BD15 BD21 BD27 BD18 BD24 BD30">
    <cfRule type="cellIs" dxfId="34" priority="15" stopIfTrue="1" operator="lessThan">
      <formula>"&lt;16"</formula>
    </cfRule>
  </conditionalFormatting>
  <conditionalFormatting sqref="BD8:BF31">
    <cfRule type="cellIs" dxfId="33" priority="12" operator="greaterThan">
      <formula>16</formula>
    </cfRule>
    <cfRule type="cellIs" dxfId="32" priority="13" operator="lessThan">
      <formula>17</formula>
    </cfRule>
  </conditionalFormatting>
  <conditionalFormatting sqref="C30:H30">
    <cfRule type="cellIs" dxfId="31" priority="2" operator="lessThan">
      <formula>17</formula>
    </cfRule>
  </conditionalFormatting>
  <conditionalFormatting sqref="C30">
    <cfRule type="cellIs" dxfId="30" priority="1" operator="lessThan">
      <formula>16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L50"/>
  <sheetViews>
    <sheetView topLeftCell="AF7" zoomScale="70" zoomScaleNormal="70" workbookViewId="0">
      <selection activeCell="BJ44" sqref="BJ44"/>
    </sheetView>
  </sheetViews>
  <sheetFormatPr defaultRowHeight="14.4"/>
  <cols>
    <col min="1" max="1" width="3.6640625" customWidth="1"/>
    <col min="2" max="2" width="13.6640625" customWidth="1"/>
    <col min="3" max="19" width="3" customWidth="1"/>
    <col min="20" max="20" width="11.33203125" customWidth="1"/>
    <col min="21" max="37" width="3" customWidth="1"/>
    <col min="38" max="38" width="12.6640625" customWidth="1"/>
    <col min="39" max="54" width="3" customWidth="1"/>
    <col min="55" max="74" width="3" style="26" customWidth="1"/>
    <col min="75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5" ht="15" thickBot="1">
      <c r="C1" s="30">
        <v>1</v>
      </c>
      <c r="D1" s="31">
        <v>2</v>
      </c>
      <c r="E1" s="31">
        <v>3</v>
      </c>
      <c r="F1" s="31">
        <v>4</v>
      </c>
      <c r="G1" s="31">
        <v>5</v>
      </c>
      <c r="H1" s="31">
        <v>6</v>
      </c>
      <c r="I1" s="31">
        <v>7</v>
      </c>
      <c r="J1" s="31">
        <v>8</v>
      </c>
      <c r="K1" s="31">
        <v>9</v>
      </c>
      <c r="L1" s="31">
        <v>10</v>
      </c>
      <c r="M1" s="31">
        <v>11</v>
      </c>
      <c r="N1" s="31">
        <v>12</v>
      </c>
      <c r="O1" s="31">
        <v>13</v>
      </c>
      <c r="P1" s="31">
        <v>14</v>
      </c>
      <c r="Q1" s="31">
        <v>15</v>
      </c>
      <c r="R1" s="31">
        <v>16</v>
      </c>
      <c r="S1" s="31">
        <v>17</v>
      </c>
      <c r="T1" s="31">
        <v>18</v>
      </c>
      <c r="U1" s="31">
        <v>19</v>
      </c>
      <c r="V1" s="31">
        <v>20</v>
      </c>
      <c r="W1" s="31">
        <v>21</v>
      </c>
      <c r="X1" s="31">
        <v>22</v>
      </c>
      <c r="Y1" s="31">
        <v>23</v>
      </c>
      <c r="Z1" s="31">
        <v>24</v>
      </c>
      <c r="AA1" s="31">
        <v>25</v>
      </c>
      <c r="AB1" s="31">
        <v>26</v>
      </c>
      <c r="AC1" s="31">
        <v>27</v>
      </c>
      <c r="AD1" s="31">
        <v>28</v>
      </c>
      <c r="AE1" s="31">
        <v>29</v>
      </c>
      <c r="AF1" s="31">
        <v>30</v>
      </c>
      <c r="AG1" s="31">
        <v>31</v>
      </c>
      <c r="AH1" s="31">
        <v>32</v>
      </c>
      <c r="AI1" s="31">
        <v>33</v>
      </c>
      <c r="AJ1" s="31">
        <v>34</v>
      </c>
      <c r="AK1" s="31">
        <v>35</v>
      </c>
      <c r="AL1" s="31">
        <v>36</v>
      </c>
      <c r="AM1" s="31">
        <v>37</v>
      </c>
      <c r="AN1" s="31">
        <v>38</v>
      </c>
      <c r="AO1" s="31">
        <v>39</v>
      </c>
      <c r="AP1" s="31">
        <v>40</v>
      </c>
      <c r="AQ1" s="31">
        <v>41</v>
      </c>
      <c r="AR1" s="31">
        <v>42</v>
      </c>
      <c r="AS1" s="31">
        <v>43</v>
      </c>
      <c r="AT1" s="31">
        <v>44</v>
      </c>
      <c r="AU1" s="31">
        <v>45</v>
      </c>
      <c r="AV1" s="31">
        <v>46</v>
      </c>
      <c r="AW1" s="31">
        <v>47</v>
      </c>
      <c r="AX1" s="31">
        <v>48</v>
      </c>
      <c r="AY1" s="31">
        <v>49</v>
      </c>
      <c r="AZ1" s="31">
        <v>50</v>
      </c>
      <c r="BA1" s="31">
        <v>51</v>
      </c>
      <c r="BB1" s="31">
        <v>52</v>
      </c>
      <c r="BC1" s="32">
        <v>53</v>
      </c>
      <c r="BD1" s="32">
        <v>54</v>
      </c>
      <c r="BE1" s="32">
        <v>55</v>
      </c>
      <c r="BF1" s="32">
        <v>56</v>
      </c>
      <c r="BG1" s="32">
        <v>57</v>
      </c>
      <c r="BH1" s="32">
        <v>58</v>
      </c>
      <c r="BI1" s="32">
        <v>59</v>
      </c>
      <c r="BJ1" s="32">
        <v>60</v>
      </c>
      <c r="BK1" s="32">
        <v>61</v>
      </c>
      <c r="BL1" s="32">
        <v>62</v>
      </c>
      <c r="BM1" s="32">
        <v>63</v>
      </c>
      <c r="BN1" s="32">
        <v>64</v>
      </c>
      <c r="BO1" s="32">
        <v>65</v>
      </c>
      <c r="BP1" s="32">
        <v>66</v>
      </c>
      <c r="BQ1" s="32">
        <v>67</v>
      </c>
      <c r="BR1" s="32">
        <v>68</v>
      </c>
      <c r="BS1" s="32">
        <v>69</v>
      </c>
      <c r="BT1" s="32">
        <v>70</v>
      </c>
      <c r="BU1" s="32">
        <v>71</v>
      </c>
      <c r="BV1" s="32">
        <v>72</v>
      </c>
      <c r="BW1" s="31">
        <v>73</v>
      </c>
      <c r="BX1" s="31">
        <v>74</v>
      </c>
      <c r="BY1" s="31">
        <v>75</v>
      </c>
      <c r="BZ1" s="31">
        <v>76</v>
      </c>
      <c r="CA1" s="31">
        <v>77</v>
      </c>
      <c r="CB1" s="31">
        <v>78</v>
      </c>
      <c r="CC1" s="31">
        <v>79</v>
      </c>
      <c r="CD1" s="33">
        <v>80</v>
      </c>
      <c r="CX1">
        <v>0</v>
      </c>
    </row>
    <row r="2" spans="1:105" ht="15" thickBot="1">
      <c r="C2" s="17" t="s">
        <v>3</v>
      </c>
      <c r="D2" s="18"/>
      <c r="E2" s="18"/>
      <c r="F2" s="18"/>
      <c r="G2" s="18"/>
      <c r="H2" s="18">
        <v>16</v>
      </c>
      <c r="I2" s="18"/>
      <c r="J2" s="18"/>
      <c r="K2" s="18"/>
      <c r="L2" s="18"/>
      <c r="M2" s="18"/>
      <c r="N2" s="18"/>
      <c r="O2" s="18"/>
      <c r="P2" s="18"/>
      <c r="Q2" s="18"/>
      <c r="R2" s="18"/>
      <c r="S2" s="2" t="s">
        <v>2</v>
      </c>
      <c r="T2" s="4"/>
      <c r="U2" s="100" t="s">
        <v>58</v>
      </c>
      <c r="V2" s="101"/>
      <c r="W2" s="101"/>
      <c r="X2" s="101"/>
      <c r="Y2" s="101"/>
      <c r="Z2" s="102"/>
      <c r="AA2" s="3" t="s">
        <v>4</v>
      </c>
      <c r="AB2" s="13" t="s">
        <v>2</v>
      </c>
      <c r="AC2" s="14"/>
      <c r="AD2" s="17" t="s">
        <v>3</v>
      </c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2" t="s">
        <v>2</v>
      </c>
      <c r="AU2" s="4"/>
      <c r="AV2" s="100" t="s">
        <v>58</v>
      </c>
      <c r="AW2" s="101"/>
      <c r="AX2" s="101"/>
      <c r="AY2" s="101"/>
      <c r="AZ2" s="101"/>
      <c r="BA2" s="102"/>
      <c r="BB2" s="3" t="s">
        <v>4</v>
      </c>
      <c r="BC2" s="27" t="s">
        <v>2</v>
      </c>
      <c r="BD2" s="28"/>
      <c r="BE2" s="27" t="s">
        <v>3</v>
      </c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7" t="s">
        <v>2</v>
      </c>
      <c r="BV2" s="29"/>
      <c r="BW2" s="100" t="s">
        <v>58</v>
      </c>
      <c r="BX2" s="101"/>
      <c r="BY2" s="101"/>
      <c r="BZ2" s="101"/>
      <c r="CA2" s="101"/>
      <c r="CB2" s="102"/>
      <c r="CC2" s="19" t="s">
        <v>4</v>
      </c>
      <c r="CD2" s="21" t="s">
        <v>2</v>
      </c>
      <c r="CE2" s="20"/>
      <c r="CJ2" s="25" t="s">
        <v>12</v>
      </c>
      <c r="CK2" t="s">
        <v>59</v>
      </c>
    </row>
    <row r="3" spans="1:105" ht="15" thickBot="1">
      <c r="C3" s="3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30"/>
      <c r="V3" s="31"/>
      <c r="W3" s="31"/>
      <c r="X3" s="31"/>
      <c r="Y3" s="31"/>
      <c r="Z3" s="3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40"/>
      <c r="AZ3" s="23"/>
      <c r="BA3" s="23"/>
      <c r="BB3" s="23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23"/>
      <c r="BX3" s="23"/>
      <c r="BY3" s="23"/>
      <c r="BZ3" s="40"/>
      <c r="CA3" s="23"/>
      <c r="CB3" s="23"/>
      <c r="CC3" s="23"/>
      <c r="CD3" s="36"/>
      <c r="CH3" s="26"/>
      <c r="CI3" s="26"/>
      <c r="CJ3" s="25" t="s">
        <v>60</v>
      </c>
      <c r="CK3" s="26" t="s">
        <v>61</v>
      </c>
      <c r="CL3" s="26" t="s">
        <v>62</v>
      </c>
      <c r="CM3" s="26"/>
      <c r="CN3" s="26"/>
      <c r="CO3" s="26"/>
    </row>
    <row r="4" spans="1:105"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6">
        <v>0</v>
      </c>
      <c r="V4" s="7"/>
      <c r="W4" s="42" t="s">
        <v>10</v>
      </c>
      <c r="X4" s="42"/>
      <c r="Y4" s="42"/>
      <c r="Z4" s="42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23"/>
      <c r="BX4" s="23"/>
      <c r="BY4" s="23"/>
      <c r="BZ4" s="23"/>
      <c r="CA4" s="23"/>
      <c r="CB4" s="23"/>
      <c r="CC4" s="23"/>
      <c r="CD4" s="36"/>
      <c r="CH4" s="25"/>
      <c r="CI4" s="26"/>
      <c r="CJ4" s="25" t="s">
        <v>60</v>
      </c>
      <c r="CK4" s="26" t="s">
        <v>63</v>
      </c>
      <c r="CL4" s="26" t="s">
        <v>64</v>
      </c>
      <c r="CM4" s="26"/>
      <c r="CN4" s="26"/>
      <c r="CO4" s="26"/>
    </row>
    <row r="5" spans="1:105">
      <c r="C5" s="34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10">
        <v>1</v>
      </c>
      <c r="V5" s="1"/>
      <c r="W5" s="41" t="s">
        <v>9</v>
      </c>
      <c r="X5" s="41"/>
      <c r="Y5" s="41"/>
      <c r="Z5" s="41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23"/>
      <c r="BX5" s="23"/>
      <c r="BY5" s="23"/>
      <c r="BZ5" s="23"/>
      <c r="CA5" s="23"/>
      <c r="CB5" s="23"/>
      <c r="CC5" s="23"/>
      <c r="CD5" s="36"/>
      <c r="CH5" s="25"/>
      <c r="CI5" s="26"/>
      <c r="CJ5" s="25" t="s">
        <v>65</v>
      </c>
      <c r="CK5" s="26" t="s">
        <v>66</v>
      </c>
      <c r="CL5" s="26"/>
      <c r="CM5" s="26"/>
      <c r="CN5" s="26"/>
      <c r="CO5" s="26"/>
    </row>
    <row r="6" spans="1:105">
      <c r="C6" s="34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10">
        <v>2</v>
      </c>
      <c r="V6" s="1"/>
      <c r="W6" s="41" t="s">
        <v>315</v>
      </c>
      <c r="X6" s="41"/>
      <c r="Y6" s="41"/>
      <c r="Z6" s="41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23"/>
      <c r="BX6" s="23"/>
      <c r="BY6" s="23"/>
      <c r="BZ6" s="23"/>
      <c r="CA6" s="23"/>
      <c r="CB6" s="23"/>
      <c r="CC6" s="23"/>
      <c r="CD6" s="36"/>
      <c r="CH6" s="25"/>
      <c r="CI6" s="26"/>
      <c r="CJ6" s="26" t="s">
        <v>60</v>
      </c>
      <c r="CK6" s="26" t="s">
        <v>67</v>
      </c>
      <c r="CL6" s="26"/>
      <c r="CM6" s="26"/>
      <c r="CN6" s="26"/>
      <c r="CO6" s="26"/>
    </row>
    <row r="7" spans="1:105">
      <c r="C7" s="34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10">
        <v>3</v>
      </c>
      <c r="V7" s="1"/>
      <c r="W7" s="41" t="s">
        <v>11</v>
      </c>
      <c r="X7" s="41"/>
      <c r="Y7" s="41"/>
      <c r="Z7" s="41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23"/>
      <c r="BX7" s="23"/>
      <c r="BY7" s="23"/>
      <c r="BZ7" s="23"/>
      <c r="CA7" s="23"/>
      <c r="CB7" s="23"/>
      <c r="CC7" s="23"/>
      <c r="CD7" s="36"/>
      <c r="CH7" s="25"/>
      <c r="CI7" s="26"/>
      <c r="CJ7" s="25" t="s">
        <v>60</v>
      </c>
      <c r="CK7" s="26" t="s">
        <v>68</v>
      </c>
      <c r="CL7" s="26" t="s">
        <v>62</v>
      </c>
      <c r="CM7" s="26"/>
      <c r="CN7" s="26"/>
      <c r="CO7" s="26"/>
    </row>
    <row r="8" spans="1:105" ht="15" thickBot="1">
      <c r="C8" s="34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4">
        <v>4</v>
      </c>
      <c r="V8" s="12"/>
      <c r="W8" s="12"/>
      <c r="X8" s="12"/>
      <c r="Y8" s="12"/>
      <c r="Z8" s="12"/>
      <c r="AA8" s="103" t="s">
        <v>113</v>
      </c>
      <c r="AB8" s="103"/>
      <c r="AC8" s="103"/>
      <c r="AD8" s="103"/>
      <c r="AE8" s="103"/>
      <c r="AF8" s="104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23"/>
      <c r="BX8" s="23"/>
      <c r="BY8" s="23"/>
      <c r="BZ8" s="23"/>
      <c r="CA8" s="23"/>
      <c r="CB8" s="23"/>
      <c r="CC8" s="23"/>
      <c r="CD8" s="36"/>
      <c r="CH8" s="25"/>
      <c r="CI8" s="26"/>
      <c r="CJ8" s="25" t="s">
        <v>60</v>
      </c>
      <c r="CK8" s="26" t="s">
        <v>69</v>
      </c>
      <c r="CL8" s="26" t="s">
        <v>64</v>
      </c>
      <c r="CM8" s="26"/>
      <c r="CN8" s="26"/>
      <c r="CO8" s="26"/>
    </row>
    <row r="9" spans="1:105" ht="15" thickBot="1">
      <c r="C9" s="34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23"/>
      <c r="BX9" s="23"/>
      <c r="BY9" s="23"/>
      <c r="BZ9" s="23"/>
      <c r="CA9" s="23"/>
      <c r="CB9" s="23"/>
      <c r="CC9" s="23"/>
      <c r="CD9" s="36"/>
      <c r="CH9" s="25"/>
      <c r="CI9" s="26"/>
      <c r="CJ9" t="s">
        <v>12</v>
      </c>
      <c r="CK9" s="26" t="s">
        <v>13</v>
      </c>
      <c r="CL9" s="26"/>
      <c r="CM9" s="26"/>
      <c r="CN9" s="26"/>
      <c r="CO9" s="26"/>
    </row>
    <row r="10" spans="1:105" ht="15" thickBot="1">
      <c r="C10" s="34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100" t="s">
        <v>7</v>
      </c>
      <c r="V10" s="101"/>
      <c r="W10" s="101"/>
      <c r="X10" s="101"/>
      <c r="Y10" s="101"/>
      <c r="Z10" s="102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100" t="s">
        <v>7</v>
      </c>
      <c r="AW10" s="101"/>
      <c r="AX10" s="101"/>
      <c r="AY10" s="101"/>
      <c r="AZ10" s="101"/>
      <c r="BA10" s="102"/>
      <c r="BB10" s="23"/>
      <c r="BC10" s="35"/>
      <c r="BD10" s="35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100" t="s">
        <v>7</v>
      </c>
      <c r="BX10" s="101"/>
      <c r="BY10" s="101"/>
      <c r="BZ10" s="101"/>
      <c r="CA10" s="101"/>
      <c r="CB10" s="102"/>
      <c r="CC10" s="23"/>
      <c r="CD10" s="36"/>
      <c r="CH10" s="25"/>
      <c r="CI10" s="26"/>
      <c r="CK10" s="26"/>
      <c r="CL10" s="26"/>
      <c r="CM10" s="26"/>
      <c r="CN10" s="26"/>
      <c r="CO10" s="26"/>
    </row>
    <row r="11" spans="1:105" ht="24.6" thickBot="1">
      <c r="C11" s="100" t="s">
        <v>5</v>
      </c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2"/>
      <c r="S11" s="37"/>
      <c r="T11" s="37"/>
      <c r="U11" s="100" t="s">
        <v>6</v>
      </c>
      <c r="V11" s="101"/>
      <c r="W11" s="101"/>
      <c r="X11" s="101"/>
      <c r="Y11" s="101"/>
      <c r="Z11" s="102"/>
      <c r="AA11" s="24" t="s">
        <v>4</v>
      </c>
      <c r="AB11" s="37"/>
      <c r="AC11" s="37"/>
      <c r="AD11" s="100" t="s">
        <v>5</v>
      </c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2"/>
      <c r="AT11" s="37"/>
      <c r="AU11" s="37"/>
      <c r="AV11" s="100" t="s">
        <v>6</v>
      </c>
      <c r="AW11" s="101"/>
      <c r="AX11" s="101"/>
      <c r="AY11" s="101"/>
      <c r="AZ11" s="101"/>
      <c r="BA11" s="102"/>
      <c r="BB11" s="24" t="s">
        <v>4</v>
      </c>
      <c r="BC11" s="38"/>
      <c r="BD11" s="38"/>
      <c r="BE11" s="100" t="s">
        <v>5</v>
      </c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1"/>
      <c r="BS11" s="101"/>
      <c r="BT11" s="102"/>
      <c r="BU11" s="37"/>
      <c r="BV11" s="37"/>
      <c r="BW11" s="100" t="s">
        <v>6</v>
      </c>
      <c r="BX11" s="101"/>
      <c r="BY11" s="101"/>
      <c r="BZ11" s="101"/>
      <c r="CA11" s="101"/>
      <c r="CB11" s="102"/>
      <c r="CC11" s="24" t="s">
        <v>4</v>
      </c>
      <c r="CD11" s="39"/>
      <c r="CH11" s="25"/>
      <c r="CJ11" s="26"/>
    </row>
    <row r="12" spans="1:105"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>
        <v>2</v>
      </c>
      <c r="R12" s="15"/>
      <c r="U12" s="22"/>
      <c r="V12" s="22"/>
      <c r="W12" s="22"/>
      <c r="X12" s="22"/>
      <c r="Y12" s="22"/>
      <c r="Z12" s="22"/>
      <c r="BT12"/>
      <c r="BU12"/>
      <c r="BV12"/>
    </row>
    <row r="13" spans="1:105" ht="15" thickBot="1">
      <c r="B13" t="s">
        <v>122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122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122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L13"/>
      <c r="BM13"/>
      <c r="BN13"/>
      <c r="BV13"/>
    </row>
    <row r="14" spans="1:105" ht="14.4" customHeight="1">
      <c r="A14" s="30">
        <v>1</v>
      </c>
      <c r="B14" s="31" t="str">
        <f>SUBSTITUTE(PROPER(C14)," ","")</f>
        <v>PolL2Vdd_T</v>
      </c>
      <c r="C14" s="148" t="s">
        <v>265</v>
      </c>
      <c r="D14" s="149"/>
      <c r="E14" s="149"/>
      <c r="F14" s="149"/>
      <c r="G14" s="149"/>
      <c r="H14" s="150"/>
      <c r="I14" s="31"/>
      <c r="J14" s="108">
        <v>1</v>
      </c>
      <c r="K14" s="109"/>
      <c r="L14" s="109"/>
      <c r="M14" s="110"/>
      <c r="N14" s="31"/>
      <c r="O14" s="52">
        <v>2</v>
      </c>
      <c r="P14" s="53"/>
      <c r="Q14" s="31"/>
      <c r="R14" s="7" t="s">
        <v>8</v>
      </c>
      <c r="S14" s="31"/>
      <c r="T14" s="31" t="str">
        <f>SUBSTITUTE(PROPER(U14)," ","")</f>
        <v>Psu1Vin</v>
      </c>
      <c r="U14" s="148" t="s">
        <v>76</v>
      </c>
      <c r="V14" s="149"/>
      <c r="W14" s="149"/>
      <c r="X14" s="149"/>
      <c r="Y14" s="149"/>
      <c r="Z14" s="150"/>
      <c r="AA14" s="31"/>
      <c r="AB14" s="108">
        <v>25</v>
      </c>
      <c r="AC14" s="109"/>
      <c r="AD14" s="109"/>
      <c r="AE14" s="110"/>
      <c r="AF14" s="31"/>
      <c r="AG14" s="52">
        <v>2</v>
      </c>
      <c r="AH14" s="53"/>
      <c r="AI14" s="31"/>
      <c r="AJ14" s="7" t="s">
        <v>14</v>
      </c>
      <c r="AK14" s="31"/>
      <c r="AL14" s="31" t="str">
        <f>SUBSTITUTE(PROPER(AM14)," ","")</f>
        <v>Psu2Vin</v>
      </c>
      <c r="AM14" s="148" t="s">
        <v>82</v>
      </c>
      <c r="AN14" s="149"/>
      <c r="AO14" s="149"/>
      <c r="AP14" s="149"/>
      <c r="AQ14" s="149"/>
      <c r="AR14" s="150"/>
      <c r="AS14" s="31"/>
      <c r="AT14" s="108">
        <v>49</v>
      </c>
      <c r="AU14" s="109"/>
      <c r="AV14" s="109"/>
      <c r="AW14" s="110"/>
      <c r="AX14" s="31"/>
      <c r="AY14" s="52">
        <v>2</v>
      </c>
      <c r="AZ14" s="53"/>
      <c r="BA14" s="31"/>
      <c r="BB14" s="7" t="s">
        <v>14</v>
      </c>
      <c r="BC14" s="32"/>
      <c r="BD14" s="32">
        <f>LEN(C14)</f>
        <v>12</v>
      </c>
      <c r="BE14" s="32">
        <f>LEN(U14)</f>
        <v>8</v>
      </c>
      <c r="BF14" s="58">
        <f>LEN(AM14)</f>
        <v>8</v>
      </c>
      <c r="BJ14" s="67" t="str">
        <f>("{"&amp;B14&amp;", "&amp;""""&amp;C14&amp;""""&amp;", "&amp;A14&amp;", "&amp;$C$13&amp;", "&amp;J14&amp;", "&amp;O14&amp;", "&amp;A14&amp;", "&amp;$J$13&amp;","&amp;""""&amp;R14&amp;""""&amp;"},")</f>
        <v>{PolL2Vdd_T, "POL L2 VDD_T", 1, 1, 1, 2, 1, 19,"C"},</v>
      </c>
      <c r="BK14" s="32"/>
      <c r="BL14" s="31"/>
      <c r="BM14" s="31"/>
      <c r="BN14" s="32"/>
      <c r="BO14" s="32"/>
      <c r="BP14" s="32"/>
      <c r="BQ14" s="32"/>
      <c r="BR14" s="32"/>
      <c r="BS14" s="32"/>
      <c r="BT14" s="32"/>
      <c r="BU14" s="32"/>
      <c r="BV14" s="32"/>
      <c r="BW14" s="31"/>
      <c r="BX14" s="31"/>
      <c r="BY14" s="31"/>
      <c r="BZ14" s="31"/>
      <c r="CA14" s="31"/>
      <c r="CB14" s="32" t="str">
        <f>("{"&amp;T14&amp;", "&amp;""""&amp;U14&amp;""""&amp;", "&amp;A14&amp;", "&amp;$U$13&amp;", "&amp;AB14&amp;", "&amp;AG14&amp;", "&amp;A14&amp;", "&amp;$AB$13&amp;","&amp;""""&amp;AJ14&amp;""""&amp;"},")</f>
        <v>{Psu1Vin, "PSU1 VIN", 1, 28, 25, 2, 1, 46,"V"},</v>
      </c>
      <c r="CC14" s="31"/>
      <c r="CD14" s="31"/>
      <c r="CE14" s="31"/>
      <c r="CF14" s="31"/>
      <c r="CG14" s="31"/>
      <c r="CH14" s="31"/>
      <c r="CI14" s="31"/>
      <c r="CJ14" s="31"/>
      <c r="CK14" s="31"/>
      <c r="CL14" s="32"/>
      <c r="CM14" s="31"/>
      <c r="CN14" s="31"/>
      <c r="CO14" s="31"/>
      <c r="CP14" s="32" t="str">
        <f>("{"&amp;AL14&amp;", "&amp;""""&amp;AM14&amp;""""&amp;", "&amp;A14&amp;", "&amp;$AM$13&amp;", "&amp;AT14&amp;", "&amp;AY14&amp;", "&amp;A14&amp;", "&amp;$AT$13&amp;","&amp;""""&amp;BB14&amp;""""&amp;"},")</f>
        <v>{Psu2Vin, "PSU2 VIN", 1, 55, 49, 2, 1, 73,"V"},</v>
      </c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3"/>
    </row>
    <row r="15" spans="1:105" ht="15" thickBot="1">
      <c r="A15" s="34">
        <v>2</v>
      </c>
      <c r="B15" s="23" t="str">
        <f t="shared" ref="B15:B37" si="0">SUBSTITUTE(PROPER(C15)," ","")</f>
        <v>PolVint1V0_T</v>
      </c>
      <c r="C15" s="145" t="s">
        <v>266</v>
      </c>
      <c r="D15" s="146"/>
      <c r="E15" s="146"/>
      <c r="F15" s="146"/>
      <c r="G15" s="146"/>
      <c r="H15" s="147"/>
      <c r="I15" s="23"/>
      <c r="J15" s="105">
        <v>2</v>
      </c>
      <c r="K15" s="106"/>
      <c r="L15" s="106"/>
      <c r="M15" s="107"/>
      <c r="N15" s="23"/>
      <c r="O15" s="16">
        <v>2</v>
      </c>
      <c r="P15" s="22"/>
      <c r="Q15" s="23"/>
      <c r="R15" s="1" t="s">
        <v>8</v>
      </c>
      <c r="S15" s="23"/>
      <c r="T15" s="23" t="str">
        <f t="shared" ref="T15:T35" si="1">SUBSTITUTE(PROPER(U15)," ","")</f>
        <v>Psu1Iin</v>
      </c>
      <c r="U15" s="145" t="s">
        <v>77</v>
      </c>
      <c r="V15" s="146"/>
      <c r="W15" s="146"/>
      <c r="X15" s="146"/>
      <c r="Y15" s="146"/>
      <c r="Z15" s="147"/>
      <c r="AA15" s="23"/>
      <c r="AB15" s="105">
        <v>26</v>
      </c>
      <c r="AC15" s="106"/>
      <c r="AD15" s="106"/>
      <c r="AE15" s="107"/>
      <c r="AF15" s="23"/>
      <c r="AG15" s="16">
        <v>0</v>
      </c>
      <c r="AH15" s="22"/>
      <c r="AI15" s="23"/>
      <c r="AJ15" s="1" t="s">
        <v>0</v>
      </c>
      <c r="AK15" s="23"/>
      <c r="AL15" s="23" t="str">
        <f t="shared" ref="AL15:AL35" si="2">SUBSTITUTE(PROPER(AM15)," ","")</f>
        <v>Psu2Iin</v>
      </c>
      <c r="AM15" s="145" t="s">
        <v>83</v>
      </c>
      <c r="AN15" s="146"/>
      <c r="AO15" s="146"/>
      <c r="AP15" s="146"/>
      <c r="AQ15" s="146"/>
      <c r="AR15" s="147"/>
      <c r="AS15" s="23"/>
      <c r="AT15" s="105">
        <v>50</v>
      </c>
      <c r="AU15" s="106"/>
      <c r="AV15" s="106"/>
      <c r="AW15" s="107"/>
      <c r="AX15" s="23"/>
      <c r="AY15" s="16">
        <v>0</v>
      </c>
      <c r="AZ15" s="22"/>
      <c r="BA15" s="23"/>
      <c r="BB15" s="1" t="s">
        <v>0</v>
      </c>
      <c r="BC15" s="35"/>
      <c r="BD15" s="35">
        <f t="shared" ref="BD15:BD37" si="3">LEN(C15)</f>
        <v>14</v>
      </c>
      <c r="BE15" s="35">
        <f t="shared" ref="BE15:BE37" si="4">LEN(U15)</f>
        <v>8</v>
      </c>
      <c r="BF15" s="59">
        <f t="shared" ref="BF15:BF37" si="5">LEN(AM15)</f>
        <v>8</v>
      </c>
      <c r="BJ15" s="68" t="str">
        <f t="shared" ref="BJ15:BJ37" si="6">("{"&amp;B15&amp;", "&amp;""""&amp;C15&amp;""""&amp;", "&amp;A15&amp;", "&amp;$C$13&amp;", "&amp;J15&amp;", "&amp;O15&amp;", "&amp;A15&amp;", "&amp;$J$13&amp;","&amp;""""&amp;R15&amp;""""&amp;"},")</f>
        <v>{PolVint1V0_T, "POL VINT 1V0_T", 2, 1, 2, 2, 2, 19,"C"},</v>
      </c>
      <c r="BK15" s="35"/>
      <c r="BL15" s="23"/>
      <c r="BM15" s="23"/>
      <c r="BN15" s="35"/>
      <c r="BO15" s="35"/>
      <c r="BP15" s="35"/>
      <c r="BQ15" s="35"/>
      <c r="BR15" s="35"/>
      <c r="BS15" s="35"/>
      <c r="BT15" s="35"/>
      <c r="BU15" s="35"/>
      <c r="BV15" s="35"/>
      <c r="BW15" s="23"/>
      <c r="BX15" s="23"/>
      <c r="BY15" s="23"/>
      <c r="BZ15" s="23"/>
      <c r="CA15" s="23"/>
      <c r="CB15" s="35" t="str">
        <f t="shared" ref="CB15:CB37" si="7">("{"&amp;T15&amp;", "&amp;""""&amp;U15&amp;""""&amp;", "&amp;A15&amp;", "&amp;$U$13&amp;", "&amp;AB15&amp;", "&amp;AG15&amp;", "&amp;A15&amp;", "&amp;$AB$13&amp;","&amp;""""&amp;AJ15&amp;""""&amp;"},")</f>
        <v>{Psu1Iin, "PSU1 IIN", 2, 28, 26, 0, 2, 46,"A"},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35"/>
      <c r="CM15" s="23"/>
      <c r="CN15" s="23"/>
      <c r="CO15" s="23"/>
      <c r="CP15" s="35" t="str">
        <f t="shared" ref="CP15:CP37" si="8">("{"&amp;AL15&amp;", "&amp;""""&amp;AM15&amp;""""&amp;", "&amp;A15&amp;", "&amp;$AM$13&amp;", "&amp;AT15&amp;", "&amp;AY15&amp;", "&amp;A15&amp;", "&amp;$AT$13&amp;","&amp;""""&amp;BB15&amp;""""&amp;"},")</f>
        <v>{Psu2Iin, "PSU2 IIN", 2, 55, 50, 0, 2, 73,"A"},</v>
      </c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36"/>
    </row>
    <row r="16" spans="1:105">
      <c r="A16" s="34">
        <v>3</v>
      </c>
      <c r="B16" s="23" t="str">
        <f t="shared" si="0"/>
        <v>BrdLocal1_T</v>
      </c>
      <c r="C16" s="145" t="s">
        <v>267</v>
      </c>
      <c r="D16" s="146"/>
      <c r="E16" s="146"/>
      <c r="F16" s="146"/>
      <c r="G16" s="146"/>
      <c r="H16" s="147"/>
      <c r="I16" s="23"/>
      <c r="J16" s="108">
        <v>3</v>
      </c>
      <c r="K16" s="109"/>
      <c r="L16" s="109"/>
      <c r="M16" s="110"/>
      <c r="N16" s="23"/>
      <c r="O16" s="16">
        <v>2</v>
      </c>
      <c r="P16" s="22"/>
      <c r="Q16" s="23"/>
      <c r="R16" s="1" t="s">
        <v>8</v>
      </c>
      <c r="S16" s="23"/>
      <c r="T16" s="23" t="str">
        <f t="shared" si="1"/>
        <v>Psu1Pin</v>
      </c>
      <c r="U16" s="145" t="s">
        <v>80</v>
      </c>
      <c r="V16" s="146"/>
      <c r="W16" s="146"/>
      <c r="X16" s="146"/>
      <c r="Y16" s="146"/>
      <c r="Z16" s="147"/>
      <c r="AA16" s="23"/>
      <c r="AB16" s="108">
        <v>27</v>
      </c>
      <c r="AC16" s="109"/>
      <c r="AD16" s="109"/>
      <c r="AE16" s="110"/>
      <c r="AF16" s="23"/>
      <c r="AG16" s="16">
        <v>2</v>
      </c>
      <c r="AH16" s="22"/>
      <c r="AI16" s="23"/>
      <c r="AJ16" s="1" t="s">
        <v>88</v>
      </c>
      <c r="AK16" s="23"/>
      <c r="AL16" s="23" t="str">
        <f t="shared" si="2"/>
        <v>Psu2Pin</v>
      </c>
      <c r="AM16" s="145" t="s">
        <v>86</v>
      </c>
      <c r="AN16" s="146"/>
      <c r="AO16" s="146"/>
      <c r="AP16" s="146"/>
      <c r="AQ16" s="146"/>
      <c r="AR16" s="147"/>
      <c r="AS16" s="23"/>
      <c r="AT16" s="108">
        <v>51</v>
      </c>
      <c r="AU16" s="109"/>
      <c r="AV16" s="109"/>
      <c r="AW16" s="110"/>
      <c r="AX16" s="23"/>
      <c r="AY16" s="16">
        <v>2</v>
      </c>
      <c r="AZ16" s="22"/>
      <c r="BA16" s="23"/>
      <c r="BB16" s="1" t="s">
        <v>88</v>
      </c>
      <c r="BC16" s="35"/>
      <c r="BD16" s="35">
        <f t="shared" si="3"/>
        <v>13</v>
      </c>
      <c r="BE16" s="35">
        <f t="shared" si="4"/>
        <v>8</v>
      </c>
      <c r="BF16" s="59">
        <f t="shared" si="5"/>
        <v>8</v>
      </c>
      <c r="BJ16" s="68" t="str">
        <f t="shared" si="6"/>
        <v>{BrdLocal1_T, "Brd Local 1_T", 3, 1, 3, 2, 3, 19,"C"},</v>
      </c>
      <c r="BK16" s="35"/>
      <c r="BL16" s="23"/>
      <c r="BM16" s="23"/>
      <c r="BN16" s="35"/>
      <c r="BO16" s="35"/>
      <c r="BP16" s="35"/>
      <c r="BQ16" s="35"/>
      <c r="BR16" s="35"/>
      <c r="BS16" s="35"/>
      <c r="BT16" s="35"/>
      <c r="BU16" s="35"/>
      <c r="BV16" s="35"/>
      <c r="BW16" s="23"/>
      <c r="BX16" s="23"/>
      <c r="BY16" s="23"/>
      <c r="BZ16" s="23"/>
      <c r="CA16" s="23"/>
      <c r="CB16" s="35" t="str">
        <f t="shared" si="7"/>
        <v>{Psu1Pin, "PSU1 PIN", 3, 28, 27, 2, 3, 46,"W"},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35"/>
      <c r="CM16" s="23"/>
      <c r="CN16" s="23"/>
      <c r="CO16" s="23"/>
      <c r="CP16" s="35" t="str">
        <f t="shared" si="8"/>
        <v>{Psu2Pin, "PSU2 PIN", 3, 55, 51, 2, 3, 73,"W"},</v>
      </c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36"/>
    </row>
    <row r="17" spans="1:105" ht="15" thickBot="1">
      <c r="A17" s="34">
        <v>4</v>
      </c>
      <c r="B17" s="23" t="str">
        <f t="shared" si="0"/>
        <v>CpDieRmt_T</v>
      </c>
      <c r="C17" s="145" t="s">
        <v>316</v>
      </c>
      <c r="D17" s="146"/>
      <c r="E17" s="146"/>
      <c r="F17" s="146"/>
      <c r="G17" s="146"/>
      <c r="H17" s="147"/>
      <c r="I17" s="23"/>
      <c r="J17" s="105">
        <v>4</v>
      </c>
      <c r="K17" s="106"/>
      <c r="L17" s="106"/>
      <c r="M17" s="107"/>
      <c r="N17" s="23"/>
      <c r="O17" s="16">
        <v>2</v>
      </c>
      <c r="P17" s="22"/>
      <c r="Q17" s="23"/>
      <c r="R17" s="1" t="s">
        <v>8</v>
      </c>
      <c r="S17" s="23"/>
      <c r="T17" s="23" t="str">
        <f t="shared" si="1"/>
        <v>Psu1Vout</v>
      </c>
      <c r="U17" s="145" t="s">
        <v>81</v>
      </c>
      <c r="V17" s="146"/>
      <c r="W17" s="146"/>
      <c r="X17" s="146"/>
      <c r="Y17" s="146"/>
      <c r="Z17" s="147"/>
      <c r="AA17" s="23"/>
      <c r="AB17" s="105">
        <v>28</v>
      </c>
      <c r="AC17" s="106"/>
      <c r="AD17" s="106"/>
      <c r="AE17" s="107"/>
      <c r="AF17" s="23"/>
      <c r="AG17" s="16">
        <v>0</v>
      </c>
      <c r="AH17" s="22"/>
      <c r="AI17" s="23"/>
      <c r="AJ17" s="1" t="s">
        <v>14</v>
      </c>
      <c r="AK17" s="23"/>
      <c r="AL17" s="23" t="str">
        <f t="shared" si="2"/>
        <v>Psu2Vout</v>
      </c>
      <c r="AM17" s="145" t="s">
        <v>87</v>
      </c>
      <c r="AN17" s="146"/>
      <c r="AO17" s="146"/>
      <c r="AP17" s="146"/>
      <c r="AQ17" s="146"/>
      <c r="AR17" s="147"/>
      <c r="AS17" s="23"/>
      <c r="AT17" s="105">
        <v>52</v>
      </c>
      <c r="AU17" s="106"/>
      <c r="AV17" s="106"/>
      <c r="AW17" s="107"/>
      <c r="AX17" s="23"/>
      <c r="AY17" s="16">
        <v>0</v>
      </c>
      <c r="AZ17" s="22"/>
      <c r="BA17" s="23"/>
      <c r="BB17" s="1" t="s">
        <v>14</v>
      </c>
      <c r="BC17" s="35"/>
      <c r="BD17" s="35">
        <f t="shared" si="3"/>
        <v>12</v>
      </c>
      <c r="BE17" s="35">
        <f t="shared" si="4"/>
        <v>9</v>
      </c>
      <c r="BF17" s="59">
        <f t="shared" si="5"/>
        <v>9</v>
      </c>
      <c r="BJ17" s="68" t="str">
        <f t="shared" si="6"/>
        <v>{CpDieRmt_T, "CP Die Rmt_T", 4, 1, 4, 2, 4, 19,"C"},</v>
      </c>
      <c r="BK17" s="35"/>
      <c r="BL17" s="23"/>
      <c r="BM17" s="23"/>
      <c r="BN17" s="35"/>
      <c r="BO17" s="35"/>
      <c r="BP17" s="35"/>
      <c r="BQ17" s="35"/>
      <c r="BR17" s="35"/>
      <c r="BS17" s="35"/>
      <c r="BT17" s="35"/>
      <c r="BU17" s="35"/>
      <c r="BV17" s="35"/>
      <c r="BW17" s="23"/>
      <c r="BX17" s="23"/>
      <c r="BY17" s="23"/>
      <c r="BZ17" s="23"/>
      <c r="CA17" s="23"/>
      <c r="CB17" s="35" t="str">
        <f t="shared" si="7"/>
        <v>{Psu1Vout, "PSU1 VOUT", 4, 28, 28, 0, 4, 46,"V"},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35"/>
      <c r="CM17" s="23"/>
      <c r="CN17" s="23"/>
      <c r="CO17" s="23"/>
      <c r="CP17" s="35" t="str">
        <f t="shared" si="8"/>
        <v>{Psu2Vout, "PSU2 VOUT", 4, 55, 52, 0, 4, 73,"V"},</v>
      </c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36"/>
    </row>
    <row r="18" spans="1:105">
      <c r="A18" s="34">
        <v>5</v>
      </c>
      <c r="B18" s="23" t="str">
        <f t="shared" si="0"/>
        <v>CpXadcDie_T</v>
      </c>
      <c r="C18" s="145" t="s">
        <v>317</v>
      </c>
      <c r="D18" s="146"/>
      <c r="E18" s="146"/>
      <c r="F18" s="146"/>
      <c r="G18" s="146"/>
      <c r="H18" s="147"/>
      <c r="I18" s="23"/>
      <c r="J18" s="108">
        <v>5</v>
      </c>
      <c r="K18" s="109"/>
      <c r="L18" s="109"/>
      <c r="M18" s="110"/>
      <c r="N18" s="23"/>
      <c r="O18" s="16">
        <v>2</v>
      </c>
      <c r="P18" s="22"/>
      <c r="Q18" s="23"/>
      <c r="R18" s="1" t="s">
        <v>8</v>
      </c>
      <c r="S18" s="23"/>
      <c r="T18" s="23" t="str">
        <f t="shared" si="1"/>
        <v>Psu1Iout</v>
      </c>
      <c r="U18" s="145" t="s">
        <v>78</v>
      </c>
      <c r="V18" s="146"/>
      <c r="W18" s="146"/>
      <c r="X18" s="146"/>
      <c r="Y18" s="146"/>
      <c r="Z18" s="147"/>
      <c r="AA18" s="23"/>
      <c r="AB18" s="108">
        <v>29</v>
      </c>
      <c r="AC18" s="109"/>
      <c r="AD18" s="109"/>
      <c r="AE18" s="110"/>
      <c r="AF18" s="23"/>
      <c r="AG18" s="16">
        <v>0</v>
      </c>
      <c r="AH18" s="22"/>
      <c r="AI18" s="23"/>
      <c r="AJ18" s="1" t="s">
        <v>0</v>
      </c>
      <c r="AK18" s="23"/>
      <c r="AL18" s="23" t="str">
        <f t="shared" si="2"/>
        <v>Psu2Iout</v>
      </c>
      <c r="AM18" s="145" t="s">
        <v>84</v>
      </c>
      <c r="AN18" s="146"/>
      <c r="AO18" s="146"/>
      <c r="AP18" s="146"/>
      <c r="AQ18" s="146"/>
      <c r="AR18" s="147"/>
      <c r="AS18" s="23"/>
      <c r="AT18" s="108">
        <v>53</v>
      </c>
      <c r="AU18" s="109"/>
      <c r="AV18" s="109"/>
      <c r="AW18" s="110"/>
      <c r="AX18" s="23"/>
      <c r="AY18" s="16">
        <v>0</v>
      </c>
      <c r="AZ18" s="22"/>
      <c r="BA18" s="23"/>
      <c r="BB18" s="1" t="s">
        <v>0</v>
      </c>
      <c r="BC18" s="35"/>
      <c r="BD18" s="35">
        <f t="shared" si="3"/>
        <v>13</v>
      </c>
      <c r="BE18" s="35">
        <f t="shared" si="4"/>
        <v>9</v>
      </c>
      <c r="BF18" s="59">
        <f t="shared" si="5"/>
        <v>9</v>
      </c>
      <c r="BJ18" s="68" t="str">
        <f t="shared" si="6"/>
        <v>{CpXadcDie_T, "CP XADC Die_T", 5, 1, 5, 2, 5, 19,"C"},</v>
      </c>
      <c r="BK18" s="35"/>
      <c r="BL18" s="23"/>
      <c r="BM18" s="23"/>
      <c r="BN18" s="35"/>
      <c r="BO18" s="35"/>
      <c r="BP18" s="35"/>
      <c r="BQ18" s="35"/>
      <c r="BR18" s="35"/>
      <c r="BS18" s="35"/>
      <c r="BT18" s="35"/>
      <c r="BU18" s="35"/>
      <c r="BV18" s="35"/>
      <c r="BW18" s="23"/>
      <c r="BX18" s="23"/>
      <c r="BY18" s="23"/>
      <c r="BZ18" s="23"/>
      <c r="CA18" s="23"/>
      <c r="CB18" s="35" t="str">
        <f t="shared" si="7"/>
        <v>{Psu1Iout, "PSU1 IOUT", 5, 28, 29, 0, 5, 46,"A"},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35"/>
      <c r="CM18" s="23"/>
      <c r="CN18" s="23"/>
      <c r="CO18" s="23"/>
      <c r="CP18" s="35" t="str">
        <f t="shared" si="8"/>
        <v>{Psu2Iout, "PSU2 IOUT", 5, 55, 53, 0, 5, 73,"A"},</v>
      </c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36"/>
    </row>
    <row r="19" spans="1:105" ht="15" thickBot="1">
      <c r="A19" s="34">
        <v>6</v>
      </c>
      <c r="B19" s="23" t="str">
        <f t="shared" si="0"/>
        <v>CpAdcMinDie_T</v>
      </c>
      <c r="C19" s="145" t="s">
        <v>318</v>
      </c>
      <c r="D19" s="146"/>
      <c r="E19" s="146"/>
      <c r="F19" s="146"/>
      <c r="G19" s="146"/>
      <c r="H19" s="147"/>
      <c r="I19" s="23"/>
      <c r="J19" s="105">
        <v>6</v>
      </c>
      <c r="K19" s="106"/>
      <c r="L19" s="106"/>
      <c r="M19" s="107"/>
      <c r="N19" s="23"/>
      <c r="O19" s="16">
        <v>2</v>
      </c>
      <c r="P19" s="22"/>
      <c r="Q19" s="23"/>
      <c r="R19" s="1" t="s">
        <v>8</v>
      </c>
      <c r="S19" s="23"/>
      <c r="T19" s="23" t="str">
        <f t="shared" si="1"/>
        <v>Psu1Pout</v>
      </c>
      <c r="U19" s="145" t="s">
        <v>79</v>
      </c>
      <c r="V19" s="146"/>
      <c r="W19" s="146"/>
      <c r="X19" s="146"/>
      <c r="Y19" s="146"/>
      <c r="Z19" s="147"/>
      <c r="AA19" s="23"/>
      <c r="AB19" s="105">
        <v>30</v>
      </c>
      <c r="AC19" s="106"/>
      <c r="AD19" s="106"/>
      <c r="AE19" s="107"/>
      <c r="AF19" s="23"/>
      <c r="AG19" s="16">
        <v>2</v>
      </c>
      <c r="AH19" s="22"/>
      <c r="AI19" s="23"/>
      <c r="AJ19" s="1" t="s">
        <v>88</v>
      </c>
      <c r="AK19" s="23"/>
      <c r="AL19" s="23" t="str">
        <f t="shared" si="2"/>
        <v>Psu2Pout</v>
      </c>
      <c r="AM19" s="145" t="s">
        <v>85</v>
      </c>
      <c r="AN19" s="146"/>
      <c r="AO19" s="146"/>
      <c r="AP19" s="146"/>
      <c r="AQ19" s="146"/>
      <c r="AR19" s="147"/>
      <c r="AS19" s="23"/>
      <c r="AT19" s="105">
        <v>54</v>
      </c>
      <c r="AU19" s="106"/>
      <c r="AV19" s="106"/>
      <c r="AW19" s="107"/>
      <c r="AX19" s="23"/>
      <c r="AY19" s="16">
        <v>2</v>
      </c>
      <c r="AZ19" s="22"/>
      <c r="BA19" s="23"/>
      <c r="BB19" s="1" t="s">
        <v>88</v>
      </c>
      <c r="BC19" s="35"/>
      <c r="BD19" s="35">
        <f t="shared" si="3"/>
        <v>16</v>
      </c>
      <c r="BE19" s="35">
        <f t="shared" si="4"/>
        <v>9</v>
      </c>
      <c r="BF19" s="59">
        <f t="shared" si="5"/>
        <v>9</v>
      </c>
      <c r="BJ19" s="68" t="str">
        <f t="shared" si="6"/>
        <v>{CpAdcMinDie_T, "CP ADC Min Die_T", 6, 1, 6, 2, 6, 19,"C"},</v>
      </c>
      <c r="BK19" s="35"/>
      <c r="BL19" s="23"/>
      <c r="BM19" s="23"/>
      <c r="BN19" s="35"/>
      <c r="BO19" s="35"/>
      <c r="BP19" s="35"/>
      <c r="BQ19" s="35"/>
      <c r="BR19" s="35"/>
      <c r="BS19" s="35"/>
      <c r="BT19" s="35"/>
      <c r="BU19" s="35"/>
      <c r="BV19" s="35"/>
      <c r="BW19" s="23"/>
      <c r="BX19" s="23"/>
      <c r="BY19" s="23"/>
      <c r="BZ19" s="23"/>
      <c r="CA19" s="23"/>
      <c r="CB19" s="35" t="str">
        <f t="shared" si="7"/>
        <v>{Psu1Pout, "PSU1 POUT", 6, 28, 30, 2, 6, 46,"W"},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35"/>
      <c r="CM19" s="23"/>
      <c r="CN19" s="23"/>
      <c r="CO19" s="23"/>
      <c r="CP19" s="35" t="str">
        <f t="shared" si="8"/>
        <v>{Psu2Pout, "PSU2 POUT", 6, 55, 54, 2, 6, 73,"W"},</v>
      </c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36"/>
    </row>
    <row r="20" spans="1:105">
      <c r="A20" s="34">
        <v>7</v>
      </c>
      <c r="B20" s="23" t="str">
        <f t="shared" si="0"/>
        <v>CpAdcMaxDie_T</v>
      </c>
      <c r="C20" s="145" t="s">
        <v>319</v>
      </c>
      <c r="D20" s="146"/>
      <c r="E20" s="146"/>
      <c r="F20" s="146"/>
      <c r="G20" s="146"/>
      <c r="H20" s="147"/>
      <c r="I20" s="23"/>
      <c r="J20" s="108">
        <v>7</v>
      </c>
      <c r="K20" s="109"/>
      <c r="L20" s="109"/>
      <c r="M20" s="110"/>
      <c r="N20" s="23"/>
      <c r="O20" s="16">
        <v>2</v>
      </c>
      <c r="P20" s="22"/>
      <c r="Q20" s="23"/>
      <c r="R20" s="1" t="s">
        <v>8</v>
      </c>
      <c r="S20" s="23"/>
      <c r="T20" s="60" t="str">
        <f t="shared" si="1"/>
        <v>Psu1Hotspot_T</v>
      </c>
      <c r="U20" s="145" t="s">
        <v>272</v>
      </c>
      <c r="V20" s="146"/>
      <c r="W20" s="146"/>
      <c r="X20" s="146"/>
      <c r="Y20" s="146"/>
      <c r="Z20" s="147"/>
      <c r="AA20" s="23"/>
      <c r="AB20" s="108">
        <v>31</v>
      </c>
      <c r="AC20" s="109"/>
      <c r="AD20" s="109"/>
      <c r="AE20" s="110"/>
      <c r="AF20" s="23"/>
      <c r="AG20" s="16">
        <v>2</v>
      </c>
      <c r="AH20" s="22"/>
      <c r="AI20" s="23"/>
      <c r="AJ20" s="1" t="s">
        <v>8</v>
      </c>
      <c r="AK20" s="23"/>
      <c r="AL20" s="60" t="str">
        <f t="shared" si="2"/>
        <v>Psu2Hotspot_T</v>
      </c>
      <c r="AM20" s="145" t="s">
        <v>273</v>
      </c>
      <c r="AN20" s="146"/>
      <c r="AO20" s="146"/>
      <c r="AP20" s="146"/>
      <c r="AQ20" s="146"/>
      <c r="AR20" s="147"/>
      <c r="AS20" s="23"/>
      <c r="AT20" s="108">
        <v>55</v>
      </c>
      <c r="AU20" s="109"/>
      <c r="AV20" s="109"/>
      <c r="AW20" s="110"/>
      <c r="AX20" s="23"/>
      <c r="AY20" s="16">
        <v>2</v>
      </c>
      <c r="AZ20" s="22"/>
      <c r="BA20" s="23"/>
      <c r="BB20" s="1" t="s">
        <v>8</v>
      </c>
      <c r="BC20" s="35"/>
      <c r="BD20" s="35">
        <f t="shared" si="3"/>
        <v>16</v>
      </c>
      <c r="BE20" s="35">
        <f t="shared" si="4"/>
        <v>14</v>
      </c>
      <c r="BF20" s="59">
        <f t="shared" si="5"/>
        <v>14</v>
      </c>
      <c r="BJ20" s="68" t="str">
        <f t="shared" si="6"/>
        <v>{CpAdcMaxDie_T, "CP ADC Max Die_T", 7, 1, 7, 2, 7, 19,"C"},</v>
      </c>
      <c r="BK20" s="35"/>
      <c r="BL20" s="23"/>
      <c r="BM20" s="23"/>
      <c r="BN20" s="35"/>
      <c r="BO20" s="35"/>
      <c r="BP20" s="35"/>
      <c r="BQ20" s="35"/>
      <c r="BR20" s="35"/>
      <c r="BS20" s="35"/>
      <c r="BT20" s="35"/>
      <c r="BU20" s="35"/>
      <c r="BV20" s="35"/>
      <c r="BW20" s="23"/>
      <c r="BX20" s="23"/>
      <c r="BY20" s="23"/>
      <c r="BZ20" s="23"/>
      <c r="CA20" s="23"/>
      <c r="CB20" s="35" t="str">
        <f t="shared" si="7"/>
        <v>{Psu1Hotspot_T, "PSU1 HotSpot_T", 7, 28, 31, 2, 7, 46,"C"},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35"/>
      <c r="CM20" s="23"/>
      <c r="CN20" s="23"/>
      <c r="CO20" s="23"/>
      <c r="CP20" s="35" t="str">
        <f t="shared" si="8"/>
        <v>{Psu2Hotspot_T, "PSU2 HotSpot_T", 7, 55, 55, 2, 7, 73,"C"},</v>
      </c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36"/>
    </row>
    <row r="21" spans="1:105" ht="15" thickBot="1">
      <c r="A21" s="54">
        <v>8</v>
      </c>
      <c r="B21" s="37" t="str">
        <f t="shared" si="0"/>
        <v>BrdLocal2_T</v>
      </c>
      <c r="C21" s="151" t="s">
        <v>268</v>
      </c>
      <c r="D21" s="152"/>
      <c r="E21" s="152"/>
      <c r="F21" s="152"/>
      <c r="G21" s="152"/>
      <c r="H21" s="153"/>
      <c r="I21" s="37"/>
      <c r="J21" s="105">
        <v>8</v>
      </c>
      <c r="K21" s="106"/>
      <c r="L21" s="106"/>
      <c r="M21" s="107"/>
      <c r="N21" s="37"/>
      <c r="O21" s="57">
        <v>2</v>
      </c>
      <c r="P21" s="55"/>
      <c r="Q21" s="37"/>
      <c r="R21" s="12" t="s">
        <v>8</v>
      </c>
      <c r="S21" s="37"/>
      <c r="T21" s="64" t="str">
        <f t="shared" si="1"/>
        <v>Psu1Inlet_T</v>
      </c>
      <c r="U21" s="151" t="s">
        <v>274</v>
      </c>
      <c r="V21" s="152"/>
      <c r="W21" s="152"/>
      <c r="X21" s="152"/>
      <c r="Y21" s="152"/>
      <c r="Z21" s="153"/>
      <c r="AA21" s="37"/>
      <c r="AB21" s="105">
        <v>32</v>
      </c>
      <c r="AC21" s="106"/>
      <c r="AD21" s="106"/>
      <c r="AE21" s="107"/>
      <c r="AF21" s="37"/>
      <c r="AG21" s="57">
        <v>2</v>
      </c>
      <c r="AH21" s="55"/>
      <c r="AI21" s="37"/>
      <c r="AJ21" s="12" t="s">
        <v>8</v>
      </c>
      <c r="AK21" s="37"/>
      <c r="AL21" s="64" t="str">
        <f t="shared" si="2"/>
        <v>Psu2Inlet_T</v>
      </c>
      <c r="AM21" s="151" t="s">
        <v>276</v>
      </c>
      <c r="AN21" s="152"/>
      <c r="AO21" s="152"/>
      <c r="AP21" s="152"/>
      <c r="AQ21" s="152"/>
      <c r="AR21" s="153"/>
      <c r="AS21" s="37"/>
      <c r="AT21" s="105">
        <v>56</v>
      </c>
      <c r="AU21" s="106"/>
      <c r="AV21" s="106"/>
      <c r="AW21" s="107"/>
      <c r="AX21" s="37"/>
      <c r="AY21" s="57">
        <v>2</v>
      </c>
      <c r="AZ21" s="55"/>
      <c r="BA21" s="37"/>
      <c r="BB21" s="12" t="s">
        <v>8</v>
      </c>
      <c r="BC21" s="38"/>
      <c r="BD21" s="38">
        <f t="shared" si="3"/>
        <v>13</v>
      </c>
      <c r="BE21" s="38">
        <f t="shared" si="4"/>
        <v>12</v>
      </c>
      <c r="BF21" s="61">
        <f t="shared" si="5"/>
        <v>12</v>
      </c>
      <c r="BJ21" s="68" t="str">
        <f t="shared" si="6"/>
        <v>{BrdLocal2_T, "Brd Local 2_T", 8, 1, 8, 2, 8, 19,"C"},</v>
      </c>
      <c r="BK21" s="35"/>
      <c r="BL21" s="23"/>
      <c r="BM21" s="23"/>
      <c r="BN21" s="35"/>
      <c r="BO21" s="35"/>
      <c r="BP21" s="35"/>
      <c r="BQ21" s="35"/>
      <c r="BR21" s="35"/>
      <c r="BS21" s="35"/>
      <c r="BT21" s="35"/>
      <c r="BU21" s="35"/>
      <c r="BV21" s="35"/>
      <c r="BW21" s="23"/>
      <c r="BX21" s="23"/>
      <c r="BY21" s="23"/>
      <c r="BZ21" s="23"/>
      <c r="CA21" s="23"/>
      <c r="CB21" s="35" t="str">
        <f t="shared" si="7"/>
        <v>{Psu1Inlet_T, "PSU1 Inlet_T", 8, 28, 32, 2, 8, 46,"C"},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35"/>
      <c r="CM21" s="23"/>
      <c r="CN21" s="23"/>
      <c r="CO21" s="23"/>
      <c r="CP21" s="35" t="str">
        <f t="shared" si="8"/>
        <v>{Psu2Inlet_T, "PSU2 Inlet_T", 8, 55, 56, 2, 8, 73,"C"},</v>
      </c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36"/>
    </row>
    <row r="22" spans="1:105">
      <c r="A22" s="30">
        <v>9</v>
      </c>
      <c r="B22" s="31" t="str">
        <f t="shared" si="0"/>
        <v>CjDieRmt_T</v>
      </c>
      <c r="C22" s="148" t="s">
        <v>419</v>
      </c>
      <c r="D22" s="149"/>
      <c r="E22" s="149"/>
      <c r="F22" s="149"/>
      <c r="G22" s="149"/>
      <c r="H22" s="150"/>
      <c r="I22" s="31"/>
      <c r="J22" s="108">
        <v>9</v>
      </c>
      <c r="K22" s="109"/>
      <c r="L22" s="109"/>
      <c r="M22" s="110"/>
      <c r="N22" s="31"/>
      <c r="O22" s="52">
        <v>2</v>
      </c>
      <c r="P22" s="53"/>
      <c r="Q22" s="31"/>
      <c r="R22" s="7" t="s">
        <v>8</v>
      </c>
      <c r="S22" s="31"/>
      <c r="T22" s="62" t="str">
        <f t="shared" si="1"/>
        <v>Psu1Exhaust_T</v>
      </c>
      <c r="U22" s="148" t="s">
        <v>275</v>
      </c>
      <c r="V22" s="149"/>
      <c r="W22" s="149"/>
      <c r="X22" s="149"/>
      <c r="Y22" s="149"/>
      <c r="Z22" s="150"/>
      <c r="AA22" s="31"/>
      <c r="AB22" s="108">
        <v>33</v>
      </c>
      <c r="AC22" s="109"/>
      <c r="AD22" s="109"/>
      <c r="AE22" s="110"/>
      <c r="AF22" s="31"/>
      <c r="AG22" s="52">
        <v>2</v>
      </c>
      <c r="AH22" s="53"/>
      <c r="AI22" s="31"/>
      <c r="AJ22" s="7" t="s">
        <v>8</v>
      </c>
      <c r="AK22" s="31"/>
      <c r="AL22" s="62" t="str">
        <f t="shared" si="2"/>
        <v>Psu2Exhaust_T</v>
      </c>
      <c r="AM22" s="148" t="s">
        <v>277</v>
      </c>
      <c r="AN22" s="149"/>
      <c r="AO22" s="149"/>
      <c r="AP22" s="149"/>
      <c r="AQ22" s="149"/>
      <c r="AR22" s="150"/>
      <c r="AS22" s="31"/>
      <c r="AT22" s="108">
        <v>57</v>
      </c>
      <c r="AU22" s="109"/>
      <c r="AV22" s="109"/>
      <c r="AW22" s="110"/>
      <c r="AX22" s="31"/>
      <c r="AY22" s="52">
        <v>2</v>
      </c>
      <c r="AZ22" s="53"/>
      <c r="BA22" s="31"/>
      <c r="BB22" s="7" t="s">
        <v>8</v>
      </c>
      <c r="BC22" s="32"/>
      <c r="BD22" s="32">
        <f t="shared" si="3"/>
        <v>12</v>
      </c>
      <c r="BE22" s="32">
        <f t="shared" si="4"/>
        <v>14</v>
      </c>
      <c r="BF22" s="58">
        <f t="shared" si="5"/>
        <v>14</v>
      </c>
      <c r="BJ22" s="68" t="str">
        <f t="shared" si="6"/>
        <v>{CjDieRmt_T, "CJ Die Rmt_T", 9, 1, 9, 2, 9, 19,"C"},</v>
      </c>
      <c r="BK22" s="35"/>
      <c r="BL22" s="23"/>
      <c r="BM22" s="23"/>
      <c r="BN22" s="35"/>
      <c r="BO22" s="35"/>
      <c r="BP22" s="35"/>
      <c r="BQ22" s="35"/>
      <c r="BR22" s="35"/>
      <c r="BS22" s="35"/>
      <c r="BT22" s="35"/>
      <c r="BU22" s="35"/>
      <c r="BV22" s="35"/>
      <c r="BW22" s="23"/>
      <c r="BX22" s="23"/>
      <c r="BY22" s="23"/>
      <c r="BZ22" s="23"/>
      <c r="CA22" s="23"/>
      <c r="CB22" s="35" t="str">
        <f t="shared" si="7"/>
        <v>{Psu1Exhaust_T, "PSU1 Exhaust_T", 9, 28, 33, 2, 9, 46,"C"},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35"/>
      <c r="CM22" s="23"/>
      <c r="CN22" s="23"/>
      <c r="CO22" s="23"/>
      <c r="CP22" s="35" t="str">
        <f t="shared" si="8"/>
        <v>{Psu2Exhaust_T, "PSU2 Exhaust_T", 9, 55, 57, 2, 9, 73,"C"},</v>
      </c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36"/>
    </row>
    <row r="23" spans="1:105" ht="15" thickBot="1">
      <c r="A23" s="34">
        <v>10</v>
      </c>
      <c r="B23" s="23" t="str">
        <f t="shared" si="0"/>
        <v>CjXadcDie_T</v>
      </c>
      <c r="C23" s="145" t="s">
        <v>320</v>
      </c>
      <c r="D23" s="146"/>
      <c r="E23" s="146"/>
      <c r="F23" s="146"/>
      <c r="G23" s="146"/>
      <c r="H23" s="147"/>
      <c r="I23" s="23"/>
      <c r="J23" s="105">
        <v>10</v>
      </c>
      <c r="K23" s="106"/>
      <c r="L23" s="106"/>
      <c r="M23" s="107"/>
      <c r="N23" s="23"/>
      <c r="O23" s="16">
        <v>2</v>
      </c>
      <c r="P23" s="22"/>
      <c r="Q23" s="23"/>
      <c r="R23" s="1" t="s">
        <v>8</v>
      </c>
      <c r="S23" s="23"/>
      <c r="T23" s="63" t="str">
        <f t="shared" si="1"/>
        <v>Psu1FanSpd</v>
      </c>
      <c r="U23" s="145" t="s">
        <v>89</v>
      </c>
      <c r="V23" s="146"/>
      <c r="W23" s="146"/>
      <c r="X23" s="146"/>
      <c r="Y23" s="146"/>
      <c r="Z23" s="147"/>
      <c r="AA23" s="23"/>
      <c r="AB23" s="105">
        <v>34</v>
      </c>
      <c r="AC23" s="106"/>
      <c r="AD23" s="106"/>
      <c r="AE23" s="107"/>
      <c r="AF23" s="23"/>
      <c r="AG23" s="16">
        <v>3</v>
      </c>
      <c r="AH23" s="22"/>
      <c r="AI23" s="23"/>
      <c r="AJ23" s="1" t="s">
        <v>15</v>
      </c>
      <c r="AK23" s="23"/>
      <c r="AL23" s="23" t="str">
        <f t="shared" si="2"/>
        <v>Psu2FanSpd</v>
      </c>
      <c r="AM23" s="145" t="s">
        <v>90</v>
      </c>
      <c r="AN23" s="146"/>
      <c r="AO23" s="146"/>
      <c r="AP23" s="146"/>
      <c r="AQ23" s="146"/>
      <c r="AR23" s="147"/>
      <c r="AS23" s="23"/>
      <c r="AT23" s="105">
        <v>58</v>
      </c>
      <c r="AU23" s="106"/>
      <c r="AV23" s="106"/>
      <c r="AW23" s="107"/>
      <c r="AX23" s="23"/>
      <c r="AY23" s="16">
        <v>3</v>
      </c>
      <c r="AZ23" s="22"/>
      <c r="BA23" s="23"/>
      <c r="BB23" s="1" t="s">
        <v>15</v>
      </c>
      <c r="BC23" s="35"/>
      <c r="BD23" s="35">
        <f t="shared" si="3"/>
        <v>13</v>
      </c>
      <c r="BE23" s="35">
        <f t="shared" si="4"/>
        <v>12</v>
      </c>
      <c r="BF23" s="59">
        <f t="shared" si="5"/>
        <v>12</v>
      </c>
      <c r="BJ23" s="68" t="str">
        <f t="shared" si="6"/>
        <v>{CjXadcDie_T, "CJ XADC Die_T", 10, 1, 10, 2, 10, 19,"C"},</v>
      </c>
      <c r="BK23" s="35"/>
      <c r="BL23" s="23"/>
      <c r="BM23" s="23"/>
      <c r="BN23" s="35"/>
      <c r="BO23" s="35"/>
      <c r="BP23" s="35"/>
      <c r="BQ23" s="35"/>
      <c r="BR23" s="35"/>
      <c r="BS23" s="35"/>
      <c r="BT23" s="35"/>
      <c r="BU23" s="35"/>
      <c r="BV23" s="35"/>
      <c r="BW23" s="23"/>
      <c r="BX23" s="23"/>
      <c r="BY23" s="23"/>
      <c r="BZ23" s="23"/>
      <c r="CA23" s="23"/>
      <c r="CB23" s="35" t="str">
        <f t="shared" si="7"/>
        <v>{Psu1FanSpd, "PSU1 FAN SPD", 10, 28, 34, 3, 10, 46,"R"},</v>
      </c>
      <c r="CC23" s="23"/>
      <c r="CD23" s="23"/>
      <c r="CE23" s="23"/>
      <c r="CF23" s="23"/>
      <c r="CG23" s="23"/>
      <c r="CH23" s="23"/>
      <c r="CI23" s="23"/>
      <c r="CJ23" s="23"/>
      <c r="CK23" s="23"/>
      <c r="CL23" s="35"/>
      <c r="CM23" s="23"/>
      <c r="CN23" s="23"/>
      <c r="CO23" s="23"/>
      <c r="CP23" s="35" t="str">
        <f t="shared" si="8"/>
        <v>{Psu2FanSpd, "PSU2 FAN SPD", 10, 55, 58, 3, 10, 73,"R"},</v>
      </c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36"/>
    </row>
    <row r="24" spans="1:105">
      <c r="A24" s="34">
        <v>11</v>
      </c>
      <c r="B24" s="23" t="str">
        <f t="shared" si="0"/>
        <v>CjAdcMinDie_T</v>
      </c>
      <c r="C24" s="145" t="s">
        <v>321</v>
      </c>
      <c r="D24" s="146"/>
      <c r="E24" s="146"/>
      <c r="F24" s="146"/>
      <c r="G24" s="146"/>
      <c r="H24" s="147"/>
      <c r="I24" s="23"/>
      <c r="J24" s="108">
        <v>11</v>
      </c>
      <c r="K24" s="109"/>
      <c r="L24" s="109"/>
      <c r="M24" s="110"/>
      <c r="N24" s="23"/>
      <c r="O24" s="16">
        <v>2</v>
      </c>
      <c r="P24" s="22"/>
      <c r="Q24" s="23"/>
      <c r="R24" s="1" t="s">
        <v>8</v>
      </c>
      <c r="S24" s="23"/>
      <c r="T24" s="63" t="str">
        <f t="shared" si="1"/>
        <v>Psu1Efficiency</v>
      </c>
      <c r="U24" s="145" t="s">
        <v>326</v>
      </c>
      <c r="V24" s="146"/>
      <c r="W24" s="146"/>
      <c r="X24" s="146"/>
      <c r="Y24" s="146"/>
      <c r="Z24" s="147"/>
      <c r="AA24" s="23"/>
      <c r="AB24" s="108">
        <v>35</v>
      </c>
      <c r="AC24" s="109"/>
      <c r="AD24" s="109"/>
      <c r="AE24" s="110"/>
      <c r="AF24" s="23"/>
      <c r="AG24" s="16">
        <v>0</v>
      </c>
      <c r="AH24" s="22"/>
      <c r="AI24" s="23"/>
      <c r="AJ24" s="1" t="s">
        <v>327</v>
      </c>
      <c r="AK24" s="23"/>
      <c r="AL24" s="23" t="str">
        <f t="shared" si="2"/>
        <v>Psu2Efficiency</v>
      </c>
      <c r="AM24" s="145" t="s">
        <v>420</v>
      </c>
      <c r="AN24" s="146"/>
      <c r="AO24" s="146"/>
      <c r="AP24" s="146"/>
      <c r="AQ24" s="146"/>
      <c r="AR24" s="147"/>
      <c r="AS24" s="23"/>
      <c r="AT24" s="108">
        <v>59</v>
      </c>
      <c r="AU24" s="109"/>
      <c r="AV24" s="109"/>
      <c r="AW24" s="110"/>
      <c r="AX24" s="23"/>
      <c r="AY24" s="16">
        <v>0</v>
      </c>
      <c r="AZ24" s="22"/>
      <c r="BA24" s="23"/>
      <c r="BB24" s="1" t="s">
        <v>327</v>
      </c>
      <c r="BC24" s="35"/>
      <c r="BD24" s="35">
        <f t="shared" si="3"/>
        <v>16</v>
      </c>
      <c r="BE24" s="35">
        <f t="shared" si="4"/>
        <v>15</v>
      </c>
      <c r="BF24" s="59">
        <f t="shared" si="5"/>
        <v>15</v>
      </c>
      <c r="BJ24" s="68" t="str">
        <f t="shared" si="6"/>
        <v>{CjAdcMinDie_T, "CJ ADC Min Die_T", 11, 1, 11, 2, 11, 19,"C"},</v>
      </c>
      <c r="BK24" s="35"/>
      <c r="BL24" s="23"/>
      <c r="BM24" s="23"/>
      <c r="BN24" s="35"/>
      <c r="BO24" s="35"/>
      <c r="BP24" s="35"/>
      <c r="BQ24" s="35"/>
      <c r="BR24" s="35"/>
      <c r="BS24" s="35"/>
      <c r="BT24" s="35"/>
      <c r="BU24" s="35"/>
      <c r="BV24" s="35"/>
      <c r="BW24" s="23"/>
      <c r="BX24" s="23"/>
      <c r="BY24" s="23"/>
      <c r="BZ24" s="23"/>
      <c r="CA24" s="23"/>
      <c r="CB24" s="35" t="str">
        <f t="shared" si="7"/>
        <v>{Psu1Efficiency, "PSU1 Efficiency", 11, 28, 35, 0, 11, 46,"%"},</v>
      </c>
      <c r="CC24" s="23"/>
      <c r="CD24" s="23"/>
      <c r="CE24" s="23"/>
      <c r="CF24" s="23"/>
      <c r="CG24" s="23"/>
      <c r="CH24" s="23"/>
      <c r="CI24" s="23"/>
      <c r="CJ24" s="23"/>
      <c r="CK24" s="23"/>
      <c r="CL24" s="35"/>
      <c r="CM24" s="23"/>
      <c r="CN24" s="23"/>
      <c r="CO24" s="23"/>
      <c r="CP24" s="35" t="str">
        <f t="shared" si="8"/>
        <v>{Psu2Efficiency, "PSU2 Efficiency", 11, 55, 59, 0, 11, 73,"%"},</v>
      </c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36"/>
    </row>
    <row r="25" spans="1:105" ht="15" thickBot="1">
      <c r="A25" s="34">
        <v>12</v>
      </c>
      <c r="B25" s="23" t="str">
        <f t="shared" si="0"/>
        <v>CjAdcMaxDie_T</v>
      </c>
      <c r="C25" s="145" t="s">
        <v>322</v>
      </c>
      <c r="D25" s="146"/>
      <c r="E25" s="146"/>
      <c r="F25" s="146"/>
      <c r="G25" s="146"/>
      <c r="H25" s="147"/>
      <c r="I25" s="23"/>
      <c r="J25" s="105">
        <v>12</v>
      </c>
      <c r="K25" s="106"/>
      <c r="L25" s="106"/>
      <c r="M25" s="107"/>
      <c r="N25" s="23"/>
      <c r="O25" s="16">
        <v>2</v>
      </c>
      <c r="P25" s="22"/>
      <c r="Q25" s="23"/>
      <c r="R25" s="1" t="s">
        <v>8</v>
      </c>
      <c r="S25" s="23"/>
      <c r="T25" s="23" t="str">
        <f t="shared" si="1"/>
        <v>Cu1FanSpd1</v>
      </c>
      <c r="U25" s="145" t="s">
        <v>91</v>
      </c>
      <c r="V25" s="146"/>
      <c r="W25" s="146"/>
      <c r="X25" s="146"/>
      <c r="Y25" s="146"/>
      <c r="Z25" s="147"/>
      <c r="AA25" s="23"/>
      <c r="AB25" s="105">
        <v>36</v>
      </c>
      <c r="AC25" s="106"/>
      <c r="AD25" s="106"/>
      <c r="AE25" s="107"/>
      <c r="AF25" s="23"/>
      <c r="AG25" s="16">
        <v>3</v>
      </c>
      <c r="AH25" s="22"/>
      <c r="AI25" s="23"/>
      <c r="AJ25" s="1" t="s">
        <v>15</v>
      </c>
      <c r="AK25" s="23"/>
      <c r="AL25" s="23" t="str">
        <f t="shared" si="2"/>
        <v>Cu2FanSpd1</v>
      </c>
      <c r="AM25" s="145" t="s">
        <v>102</v>
      </c>
      <c r="AN25" s="146"/>
      <c r="AO25" s="146"/>
      <c r="AP25" s="146"/>
      <c r="AQ25" s="146"/>
      <c r="AR25" s="147"/>
      <c r="AS25" s="23"/>
      <c r="AT25" s="105">
        <v>60</v>
      </c>
      <c r="AU25" s="106"/>
      <c r="AV25" s="106"/>
      <c r="AW25" s="107"/>
      <c r="AX25" s="23"/>
      <c r="AY25" s="16">
        <v>3</v>
      </c>
      <c r="AZ25" s="22"/>
      <c r="BA25" s="23"/>
      <c r="BB25" s="1" t="s">
        <v>15</v>
      </c>
      <c r="BC25" s="35"/>
      <c r="BD25" s="35">
        <f t="shared" si="3"/>
        <v>16</v>
      </c>
      <c r="BE25" s="35">
        <f t="shared" si="4"/>
        <v>13</v>
      </c>
      <c r="BF25" s="59">
        <f t="shared" si="5"/>
        <v>13</v>
      </c>
      <c r="BJ25" s="68" t="str">
        <f t="shared" si="6"/>
        <v>{CjAdcMaxDie_T, "CJ ADC Max Die_T", 12, 1, 12, 2, 12, 19,"C"},</v>
      </c>
      <c r="BK25" s="35"/>
      <c r="BL25" s="23"/>
      <c r="BM25" s="23"/>
      <c r="BN25" s="35"/>
      <c r="BO25" s="35"/>
      <c r="BP25" s="35"/>
      <c r="BQ25" s="35"/>
      <c r="BR25" s="35"/>
      <c r="BS25" s="35"/>
      <c r="BT25" s="35"/>
      <c r="BU25" s="35"/>
      <c r="BV25" s="35"/>
      <c r="BW25" s="23"/>
      <c r="BX25" s="23"/>
      <c r="BY25" s="23"/>
      <c r="BZ25" s="23"/>
      <c r="CA25" s="23"/>
      <c r="CB25" s="35" t="str">
        <f t="shared" si="7"/>
        <v>{Cu1FanSpd1, "CU1 Fan Spd 1", 12, 28, 36, 3, 12, 46,"R"},</v>
      </c>
      <c r="CC25" s="23"/>
      <c r="CD25" s="23"/>
      <c r="CE25" s="23"/>
      <c r="CF25" s="23"/>
      <c r="CG25" s="23"/>
      <c r="CH25" s="23"/>
      <c r="CI25" s="23"/>
      <c r="CJ25" s="23"/>
      <c r="CK25" s="23"/>
      <c r="CL25" s="35"/>
      <c r="CM25" s="23"/>
      <c r="CN25" s="23"/>
      <c r="CO25" s="23"/>
      <c r="CP25" s="35" t="str">
        <f t="shared" si="8"/>
        <v>{Cu2FanSpd1, "CU2 Fan Spd 1", 12, 55, 60, 3, 12, 73,"R"},</v>
      </c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36"/>
    </row>
    <row r="26" spans="1:105">
      <c r="A26" s="34">
        <v>13</v>
      </c>
      <c r="B26" s="23" t="str">
        <f t="shared" si="0"/>
        <v>BrdLocal3_T</v>
      </c>
      <c r="C26" s="145" t="s">
        <v>269</v>
      </c>
      <c r="D26" s="146"/>
      <c r="E26" s="146"/>
      <c r="F26" s="146"/>
      <c r="G26" s="146"/>
      <c r="H26" s="147"/>
      <c r="I26" s="23"/>
      <c r="J26" s="108">
        <v>13</v>
      </c>
      <c r="K26" s="109"/>
      <c r="L26" s="109"/>
      <c r="M26" s="110"/>
      <c r="N26" s="23"/>
      <c r="O26" s="16">
        <v>2</v>
      </c>
      <c r="P26" s="22"/>
      <c r="Q26" s="23"/>
      <c r="R26" s="1" t="s">
        <v>8</v>
      </c>
      <c r="S26" s="23"/>
      <c r="T26" s="23" t="str">
        <f t="shared" si="1"/>
        <v>Cu1FanSpd2</v>
      </c>
      <c r="U26" s="145" t="s">
        <v>93</v>
      </c>
      <c r="V26" s="146"/>
      <c r="W26" s="146"/>
      <c r="X26" s="146"/>
      <c r="Y26" s="146"/>
      <c r="Z26" s="147"/>
      <c r="AA26" s="23"/>
      <c r="AB26" s="108">
        <v>37</v>
      </c>
      <c r="AC26" s="109"/>
      <c r="AD26" s="109"/>
      <c r="AE26" s="110"/>
      <c r="AF26" s="23"/>
      <c r="AG26" s="16">
        <v>3</v>
      </c>
      <c r="AH26" s="22"/>
      <c r="AI26" s="23"/>
      <c r="AJ26" s="1" t="s">
        <v>15</v>
      </c>
      <c r="AK26" s="23"/>
      <c r="AL26" s="23" t="str">
        <f t="shared" si="2"/>
        <v>Cu2FanSpd2</v>
      </c>
      <c r="AM26" s="145" t="s">
        <v>103</v>
      </c>
      <c r="AN26" s="146"/>
      <c r="AO26" s="146"/>
      <c r="AP26" s="146"/>
      <c r="AQ26" s="146"/>
      <c r="AR26" s="147"/>
      <c r="AS26" s="23"/>
      <c r="AT26" s="108">
        <v>61</v>
      </c>
      <c r="AU26" s="109"/>
      <c r="AV26" s="109"/>
      <c r="AW26" s="110"/>
      <c r="AX26" s="23"/>
      <c r="AY26" s="16">
        <v>3</v>
      </c>
      <c r="AZ26" s="22"/>
      <c r="BA26" s="23"/>
      <c r="BB26" s="1" t="s">
        <v>15</v>
      </c>
      <c r="BC26" s="35"/>
      <c r="BD26" s="35">
        <f t="shared" si="3"/>
        <v>13</v>
      </c>
      <c r="BE26" s="35">
        <f t="shared" si="4"/>
        <v>13</v>
      </c>
      <c r="BF26" s="59">
        <f t="shared" si="5"/>
        <v>13</v>
      </c>
      <c r="BJ26" s="68" t="str">
        <f t="shared" si="6"/>
        <v>{BrdLocal3_T, "Brd Local 3_T", 13, 1, 13, 2, 13, 19,"C"},</v>
      </c>
      <c r="BK26" s="35"/>
      <c r="BL26" s="23"/>
      <c r="BM26" s="23"/>
      <c r="BN26" s="35"/>
      <c r="BO26" s="35"/>
      <c r="BP26" s="35"/>
      <c r="BQ26" s="35"/>
      <c r="BR26" s="35"/>
      <c r="BS26" s="35"/>
      <c r="BT26" s="35"/>
      <c r="BU26" s="35"/>
      <c r="BV26" s="35"/>
      <c r="BW26" s="23"/>
      <c r="BX26" s="23"/>
      <c r="BY26" s="23"/>
      <c r="BZ26" s="23"/>
      <c r="CA26" s="23"/>
      <c r="CB26" s="35" t="str">
        <f t="shared" si="7"/>
        <v>{Cu1FanSpd2, "CU1 Fan Spd 2", 13, 28, 37, 3, 13, 46,"R"},</v>
      </c>
      <c r="CC26" s="23"/>
      <c r="CD26" s="23"/>
      <c r="CE26" s="23"/>
      <c r="CF26" s="23"/>
      <c r="CG26" s="23"/>
      <c r="CH26" s="23"/>
      <c r="CI26" s="23"/>
      <c r="CJ26" s="23"/>
      <c r="CK26" s="23"/>
      <c r="CL26" s="35"/>
      <c r="CM26" s="23"/>
      <c r="CN26" s="23"/>
      <c r="CO26" s="23"/>
      <c r="CP26" s="35" t="str">
        <f t="shared" si="8"/>
        <v>{Cu2FanSpd2, "CU2 Fan Spd 2", 13, 55, 61, 3, 13, 73,"R"},</v>
      </c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36"/>
    </row>
    <row r="27" spans="1:105" ht="15" thickBot="1">
      <c r="A27" s="34">
        <v>14</v>
      </c>
      <c r="B27" s="23" t="str">
        <f t="shared" si="0"/>
        <v>L2DieRmt_T</v>
      </c>
      <c r="C27" s="145" t="s">
        <v>418</v>
      </c>
      <c r="D27" s="146"/>
      <c r="E27" s="146"/>
      <c r="F27" s="146"/>
      <c r="G27" s="146"/>
      <c r="H27" s="147"/>
      <c r="I27" s="23"/>
      <c r="J27" s="105">
        <v>14</v>
      </c>
      <c r="K27" s="106"/>
      <c r="L27" s="106"/>
      <c r="M27" s="107"/>
      <c r="N27" s="23"/>
      <c r="O27" s="16">
        <v>2</v>
      </c>
      <c r="P27" s="22"/>
      <c r="Q27" s="23"/>
      <c r="R27" s="1" t="s">
        <v>8</v>
      </c>
      <c r="S27" s="23"/>
      <c r="T27" s="23" t="str">
        <f t="shared" si="1"/>
        <v>Cu1FanSpd3</v>
      </c>
      <c r="U27" s="145" t="s">
        <v>94</v>
      </c>
      <c r="V27" s="146"/>
      <c r="W27" s="146"/>
      <c r="X27" s="146"/>
      <c r="Y27" s="146"/>
      <c r="Z27" s="147"/>
      <c r="AA27" s="23"/>
      <c r="AB27" s="105">
        <v>38</v>
      </c>
      <c r="AC27" s="106"/>
      <c r="AD27" s="106"/>
      <c r="AE27" s="107"/>
      <c r="AF27" s="23"/>
      <c r="AG27" s="16">
        <v>3</v>
      </c>
      <c r="AH27" s="22"/>
      <c r="AI27" s="23"/>
      <c r="AJ27" s="1" t="s">
        <v>15</v>
      </c>
      <c r="AK27" s="23"/>
      <c r="AL27" s="23" t="str">
        <f t="shared" si="2"/>
        <v>Cu2FanSpd3</v>
      </c>
      <c r="AM27" s="145" t="s">
        <v>104</v>
      </c>
      <c r="AN27" s="146"/>
      <c r="AO27" s="146"/>
      <c r="AP27" s="146"/>
      <c r="AQ27" s="146"/>
      <c r="AR27" s="147"/>
      <c r="AS27" s="23"/>
      <c r="AT27" s="105">
        <v>62</v>
      </c>
      <c r="AU27" s="106"/>
      <c r="AV27" s="106"/>
      <c r="AW27" s="107"/>
      <c r="AX27" s="23"/>
      <c r="AY27" s="16">
        <v>3</v>
      </c>
      <c r="AZ27" s="22"/>
      <c r="BA27" s="23"/>
      <c r="BB27" s="1" t="s">
        <v>15</v>
      </c>
      <c r="BC27" s="35"/>
      <c r="BD27" s="35">
        <f t="shared" si="3"/>
        <v>12</v>
      </c>
      <c r="BE27" s="35">
        <f t="shared" si="4"/>
        <v>13</v>
      </c>
      <c r="BF27" s="59">
        <f t="shared" si="5"/>
        <v>13</v>
      </c>
      <c r="BJ27" s="68" t="str">
        <f t="shared" si="6"/>
        <v>{L2DieRmt_T, "L2 Die Rmt_T", 14, 1, 14, 2, 14, 19,"C"},</v>
      </c>
      <c r="BK27" s="35"/>
      <c r="BL27" s="23"/>
      <c r="BM27" s="23"/>
      <c r="BN27" s="35"/>
      <c r="BO27" s="35"/>
      <c r="BP27" s="35"/>
      <c r="BQ27" s="35"/>
      <c r="BR27" s="35"/>
      <c r="BS27" s="35"/>
      <c r="BT27" s="35"/>
      <c r="BU27" s="35"/>
      <c r="BV27" s="35"/>
      <c r="BW27" s="23"/>
      <c r="BX27" s="23"/>
      <c r="BY27" s="23"/>
      <c r="BZ27" s="23"/>
      <c r="CA27" s="23"/>
      <c r="CB27" s="35" t="str">
        <f t="shared" si="7"/>
        <v>{Cu1FanSpd3, "CU1 Fan Spd 3", 14, 28, 38, 3, 14, 46,"R"},</v>
      </c>
      <c r="CC27" s="23"/>
      <c r="CD27" s="23"/>
      <c r="CE27" s="23"/>
      <c r="CF27" s="23"/>
      <c r="CG27" s="23"/>
      <c r="CH27" s="23"/>
      <c r="CI27" s="23"/>
      <c r="CJ27" s="23"/>
      <c r="CK27" s="23"/>
      <c r="CL27" s="35"/>
      <c r="CM27" s="23"/>
      <c r="CN27" s="23"/>
      <c r="CO27" s="23"/>
      <c r="CP27" s="35" t="str">
        <f t="shared" si="8"/>
        <v>{Cu2FanSpd3, "CU2 Fan Spd 3", 14, 55, 62, 3, 14, 73,"R"},</v>
      </c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36"/>
    </row>
    <row r="28" spans="1:105">
      <c r="A28" s="34">
        <v>15</v>
      </c>
      <c r="B28" s="23" t="str">
        <f t="shared" si="0"/>
        <v>Psu1Hotspot_T</v>
      </c>
      <c r="C28" s="145" t="str">
        <f>U20</f>
        <v>PSU1 HotSpot_T</v>
      </c>
      <c r="D28" s="146"/>
      <c r="E28" s="146"/>
      <c r="F28" s="146"/>
      <c r="G28" s="146"/>
      <c r="H28" s="147"/>
      <c r="I28" s="23"/>
      <c r="J28" s="108">
        <v>15</v>
      </c>
      <c r="K28" s="109"/>
      <c r="L28" s="109"/>
      <c r="M28" s="110"/>
      <c r="N28" s="23"/>
      <c r="O28" s="16">
        <v>2</v>
      </c>
      <c r="P28" s="22"/>
      <c r="Q28" s="23"/>
      <c r="R28" s="1" t="s">
        <v>8</v>
      </c>
      <c r="S28" s="23"/>
      <c r="T28" s="23" t="str">
        <f t="shared" si="1"/>
        <v>Cu1FanSpd4</v>
      </c>
      <c r="U28" s="145" t="s">
        <v>95</v>
      </c>
      <c r="V28" s="146"/>
      <c r="W28" s="146"/>
      <c r="X28" s="146"/>
      <c r="Y28" s="146"/>
      <c r="Z28" s="147"/>
      <c r="AA28" s="23"/>
      <c r="AB28" s="108">
        <v>39</v>
      </c>
      <c r="AC28" s="109"/>
      <c r="AD28" s="109"/>
      <c r="AE28" s="110"/>
      <c r="AF28" s="23"/>
      <c r="AG28" s="16">
        <v>3</v>
      </c>
      <c r="AH28" s="22"/>
      <c r="AI28" s="23"/>
      <c r="AJ28" s="1" t="s">
        <v>15</v>
      </c>
      <c r="AK28" s="23"/>
      <c r="AL28" s="23" t="str">
        <f t="shared" si="2"/>
        <v>Cu2FanSpd4</v>
      </c>
      <c r="AM28" s="145" t="s">
        <v>105</v>
      </c>
      <c r="AN28" s="146"/>
      <c r="AO28" s="146"/>
      <c r="AP28" s="146"/>
      <c r="AQ28" s="146"/>
      <c r="AR28" s="147"/>
      <c r="AS28" s="23"/>
      <c r="AT28" s="108">
        <v>63</v>
      </c>
      <c r="AU28" s="109"/>
      <c r="AV28" s="109"/>
      <c r="AW28" s="110"/>
      <c r="AX28" s="23"/>
      <c r="AY28" s="16">
        <v>3</v>
      </c>
      <c r="AZ28" s="22"/>
      <c r="BA28" s="23"/>
      <c r="BB28" s="1" t="s">
        <v>15</v>
      </c>
      <c r="BC28" s="35"/>
      <c r="BD28" s="35">
        <f t="shared" si="3"/>
        <v>14</v>
      </c>
      <c r="BE28" s="35">
        <f t="shared" si="4"/>
        <v>13</v>
      </c>
      <c r="BF28" s="59">
        <f t="shared" si="5"/>
        <v>13</v>
      </c>
      <c r="BJ28" s="68" t="str">
        <f t="shared" si="6"/>
        <v>{Psu1Hotspot_T, "PSU1 HotSpot_T", 15, 1, 15, 2, 15, 19,"C"},</v>
      </c>
      <c r="BK28" s="35"/>
      <c r="BL28" s="23"/>
      <c r="BM28" s="23"/>
      <c r="BN28" s="35"/>
      <c r="BO28" s="35"/>
      <c r="BP28" s="35"/>
      <c r="BQ28" s="35"/>
      <c r="BR28" s="35"/>
      <c r="BS28" s="35"/>
      <c r="BT28" s="35"/>
      <c r="BU28" s="35"/>
      <c r="BV28" s="35"/>
      <c r="BW28" s="23"/>
      <c r="BX28" s="23"/>
      <c r="BY28" s="23"/>
      <c r="BZ28" s="23"/>
      <c r="CA28" s="23"/>
      <c r="CB28" s="35" t="str">
        <f t="shared" si="7"/>
        <v>{Cu1FanSpd4, "CU1 Fan Spd 4", 15, 28, 39, 3, 15, 46,"R"},</v>
      </c>
      <c r="CC28" s="23"/>
      <c r="CD28" s="23"/>
      <c r="CE28" s="23"/>
      <c r="CF28" s="23"/>
      <c r="CG28" s="23"/>
      <c r="CH28" s="23"/>
      <c r="CI28" s="23"/>
      <c r="CJ28" s="23"/>
      <c r="CK28" s="23"/>
      <c r="CL28" s="35"/>
      <c r="CM28" s="23"/>
      <c r="CN28" s="23"/>
      <c r="CO28" s="23"/>
      <c r="CP28" s="35" t="str">
        <f t="shared" si="8"/>
        <v>{Cu2FanSpd4, "CU2 Fan Spd 4", 15, 55, 63, 3, 15, 73,"R"},</v>
      </c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36"/>
    </row>
    <row r="29" spans="1:105" ht="15" thickBot="1">
      <c r="A29" s="54">
        <v>16</v>
      </c>
      <c r="B29" s="37" t="str">
        <f t="shared" si="0"/>
        <v>Psu1Inlet_T</v>
      </c>
      <c r="C29" s="151" t="str">
        <f>U21</f>
        <v>PSU1 Inlet_T</v>
      </c>
      <c r="D29" s="152"/>
      <c r="E29" s="152"/>
      <c r="F29" s="152"/>
      <c r="G29" s="152"/>
      <c r="H29" s="153"/>
      <c r="I29" s="37"/>
      <c r="J29" s="105">
        <v>16</v>
      </c>
      <c r="K29" s="106"/>
      <c r="L29" s="106"/>
      <c r="M29" s="107"/>
      <c r="N29" s="37"/>
      <c r="O29" s="57">
        <v>2</v>
      </c>
      <c r="P29" s="55"/>
      <c r="Q29" s="37"/>
      <c r="R29" s="12" t="s">
        <v>8</v>
      </c>
      <c r="S29" s="37"/>
      <c r="T29" s="37" t="str">
        <f t="shared" si="1"/>
        <v>Cu1FanSpd5</v>
      </c>
      <c r="U29" s="151" t="s">
        <v>96</v>
      </c>
      <c r="V29" s="152"/>
      <c r="W29" s="152"/>
      <c r="X29" s="152"/>
      <c r="Y29" s="152"/>
      <c r="Z29" s="153"/>
      <c r="AA29" s="37"/>
      <c r="AB29" s="105">
        <v>40</v>
      </c>
      <c r="AC29" s="106"/>
      <c r="AD29" s="106"/>
      <c r="AE29" s="107"/>
      <c r="AF29" s="37"/>
      <c r="AG29" s="57">
        <v>3</v>
      </c>
      <c r="AH29" s="55"/>
      <c r="AI29" s="37"/>
      <c r="AJ29" s="12" t="s">
        <v>15</v>
      </c>
      <c r="AK29" s="37"/>
      <c r="AL29" s="37" t="str">
        <f t="shared" si="2"/>
        <v>Cu2FanSpd5</v>
      </c>
      <c r="AM29" s="151" t="s">
        <v>106</v>
      </c>
      <c r="AN29" s="152"/>
      <c r="AO29" s="152"/>
      <c r="AP29" s="152"/>
      <c r="AQ29" s="152"/>
      <c r="AR29" s="153"/>
      <c r="AS29" s="37"/>
      <c r="AT29" s="105">
        <v>64</v>
      </c>
      <c r="AU29" s="106"/>
      <c r="AV29" s="106"/>
      <c r="AW29" s="107"/>
      <c r="AX29" s="37"/>
      <c r="AY29" s="57">
        <v>3</v>
      </c>
      <c r="AZ29" s="55"/>
      <c r="BA29" s="37"/>
      <c r="BB29" s="12" t="s">
        <v>15</v>
      </c>
      <c r="BC29" s="38"/>
      <c r="BD29" s="38">
        <f t="shared" si="3"/>
        <v>12</v>
      </c>
      <c r="BE29" s="38">
        <f t="shared" si="4"/>
        <v>13</v>
      </c>
      <c r="BF29" s="61">
        <f t="shared" si="5"/>
        <v>13</v>
      </c>
      <c r="BJ29" s="68" t="str">
        <f t="shared" si="6"/>
        <v>{Psu1Inlet_T, "PSU1 Inlet_T", 16, 1, 16, 2, 16, 19,"C"},</v>
      </c>
      <c r="BK29" s="35"/>
      <c r="BL29" s="23"/>
      <c r="BM29" s="23"/>
      <c r="BN29" s="35"/>
      <c r="BO29" s="35"/>
      <c r="BP29" s="35"/>
      <c r="BQ29" s="35"/>
      <c r="BR29" s="35"/>
      <c r="BS29" s="35"/>
      <c r="BT29" s="35"/>
      <c r="BU29" s="35"/>
      <c r="BV29" s="35"/>
      <c r="BW29" s="23"/>
      <c r="BX29" s="23"/>
      <c r="BY29" s="23"/>
      <c r="BZ29" s="23"/>
      <c r="CA29" s="23"/>
      <c r="CB29" s="35" t="str">
        <f t="shared" si="7"/>
        <v>{Cu1FanSpd5, "CU1 Fan Spd 5", 16, 28, 40, 3, 16, 46,"R"},</v>
      </c>
      <c r="CC29" s="23"/>
      <c r="CD29" s="23"/>
      <c r="CE29" s="23"/>
      <c r="CF29" s="23"/>
      <c r="CG29" s="23"/>
      <c r="CH29" s="23"/>
      <c r="CI29" s="23"/>
      <c r="CJ29" s="23"/>
      <c r="CK29" s="23"/>
      <c r="CL29" s="35"/>
      <c r="CM29" s="23"/>
      <c r="CN29" s="23"/>
      <c r="CO29" s="23"/>
      <c r="CP29" s="35" t="str">
        <f t="shared" si="8"/>
        <v>{Cu2FanSpd5, "CU2 Fan Spd 5", 16, 55, 64, 3, 16, 73,"R"},</v>
      </c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36"/>
    </row>
    <row r="30" spans="1:105">
      <c r="A30" s="30">
        <v>17</v>
      </c>
      <c r="B30" s="31" t="str">
        <f t="shared" si="0"/>
        <v>Psu1Exhaust_T</v>
      </c>
      <c r="C30" s="148" t="str">
        <f>U22</f>
        <v>PSU1 Exhaust_T</v>
      </c>
      <c r="D30" s="149"/>
      <c r="E30" s="149"/>
      <c r="F30" s="149"/>
      <c r="G30" s="149"/>
      <c r="H30" s="150"/>
      <c r="I30" s="31"/>
      <c r="J30" s="108">
        <v>17</v>
      </c>
      <c r="K30" s="109"/>
      <c r="L30" s="109"/>
      <c r="M30" s="110"/>
      <c r="N30" s="31"/>
      <c r="O30" s="52">
        <v>2</v>
      </c>
      <c r="P30" s="53"/>
      <c r="Q30" s="31"/>
      <c r="R30" s="7" t="s">
        <v>8</v>
      </c>
      <c r="S30" s="31"/>
      <c r="T30" s="31" t="str">
        <f t="shared" si="1"/>
        <v>Cu1FanSpd6</v>
      </c>
      <c r="U30" s="148" t="s">
        <v>92</v>
      </c>
      <c r="V30" s="149"/>
      <c r="W30" s="149"/>
      <c r="X30" s="149"/>
      <c r="Y30" s="149"/>
      <c r="Z30" s="150"/>
      <c r="AA30" s="31"/>
      <c r="AB30" s="108">
        <v>41</v>
      </c>
      <c r="AC30" s="109"/>
      <c r="AD30" s="109"/>
      <c r="AE30" s="110"/>
      <c r="AF30" s="31"/>
      <c r="AG30" s="52">
        <v>3</v>
      </c>
      <c r="AH30" s="53"/>
      <c r="AI30" s="31"/>
      <c r="AJ30" s="7" t="s">
        <v>15</v>
      </c>
      <c r="AK30" s="31"/>
      <c r="AL30" s="31" t="str">
        <f t="shared" si="2"/>
        <v>Cu2FanSpd6</v>
      </c>
      <c r="AM30" s="148" t="s">
        <v>107</v>
      </c>
      <c r="AN30" s="149"/>
      <c r="AO30" s="149"/>
      <c r="AP30" s="149"/>
      <c r="AQ30" s="149"/>
      <c r="AR30" s="150"/>
      <c r="AS30" s="31"/>
      <c r="AT30" s="108">
        <v>65</v>
      </c>
      <c r="AU30" s="109"/>
      <c r="AV30" s="109"/>
      <c r="AW30" s="110"/>
      <c r="AX30" s="31"/>
      <c r="AY30" s="52">
        <v>3</v>
      </c>
      <c r="AZ30" s="53"/>
      <c r="BA30" s="31"/>
      <c r="BB30" s="7" t="s">
        <v>15</v>
      </c>
      <c r="BC30" s="32"/>
      <c r="BD30" s="32">
        <f t="shared" si="3"/>
        <v>14</v>
      </c>
      <c r="BE30" s="32">
        <f t="shared" si="4"/>
        <v>13</v>
      </c>
      <c r="BF30" s="58">
        <f t="shared" si="5"/>
        <v>13</v>
      </c>
      <c r="BJ30" s="68" t="str">
        <f t="shared" si="6"/>
        <v>{Psu1Exhaust_T, "PSU1 Exhaust_T", 17, 1, 17, 2, 17, 19,"C"},</v>
      </c>
      <c r="BK30" s="35"/>
      <c r="BL30" s="23"/>
      <c r="BM30" s="23"/>
      <c r="BN30" s="35"/>
      <c r="BO30" s="35"/>
      <c r="BP30" s="35"/>
      <c r="BQ30" s="35"/>
      <c r="BR30" s="35"/>
      <c r="BS30" s="35"/>
      <c r="BT30" s="35"/>
      <c r="BU30" s="35"/>
      <c r="BV30" s="35"/>
      <c r="BW30" s="23"/>
      <c r="BX30" s="23"/>
      <c r="BY30" s="23"/>
      <c r="BZ30" s="23"/>
      <c r="CA30" s="23"/>
      <c r="CB30" s="35" t="str">
        <f t="shared" si="7"/>
        <v>{Cu1FanSpd6, "CU1 Fan Spd 6", 17, 28, 41, 3, 17, 46,"R"},</v>
      </c>
      <c r="CC30" s="23"/>
      <c r="CD30" s="23"/>
      <c r="CE30" s="23"/>
      <c r="CF30" s="23"/>
      <c r="CG30" s="23"/>
      <c r="CH30" s="23"/>
      <c r="CI30" s="23"/>
      <c r="CJ30" s="23"/>
      <c r="CK30" s="23"/>
      <c r="CL30" s="35"/>
      <c r="CM30" s="23"/>
      <c r="CN30" s="23"/>
      <c r="CO30" s="23"/>
      <c r="CP30" s="35" t="str">
        <f t="shared" si="8"/>
        <v>{Cu2FanSpd6, "CU2 Fan Spd 6", 17, 55, 65, 3, 17, 73,"R"},</v>
      </c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36"/>
    </row>
    <row r="31" spans="1:105" ht="15" thickBot="1">
      <c r="A31" s="34">
        <v>18</v>
      </c>
      <c r="B31" s="23" t="str">
        <f t="shared" si="0"/>
        <v>Psu2Hotspot_T</v>
      </c>
      <c r="C31" s="145" t="str">
        <f>AM20</f>
        <v>PSU2 HotSpot_T</v>
      </c>
      <c r="D31" s="146"/>
      <c r="E31" s="146"/>
      <c r="F31" s="146"/>
      <c r="G31" s="146"/>
      <c r="H31" s="147"/>
      <c r="I31" s="23"/>
      <c r="J31" s="105">
        <v>18</v>
      </c>
      <c r="K31" s="106"/>
      <c r="L31" s="106"/>
      <c r="M31" s="107"/>
      <c r="N31" s="23"/>
      <c r="O31" s="16">
        <v>2</v>
      </c>
      <c r="P31" s="22"/>
      <c r="Q31" s="23"/>
      <c r="R31" s="1" t="s">
        <v>8</v>
      </c>
      <c r="S31" s="23"/>
      <c r="T31" s="23" t="str">
        <f t="shared" si="1"/>
        <v>Cu1Temp1</v>
      </c>
      <c r="U31" s="145" t="s">
        <v>97</v>
      </c>
      <c r="V31" s="146"/>
      <c r="W31" s="146"/>
      <c r="X31" s="146"/>
      <c r="Y31" s="146"/>
      <c r="Z31" s="147"/>
      <c r="AA31" s="23"/>
      <c r="AB31" s="105">
        <v>42</v>
      </c>
      <c r="AC31" s="106"/>
      <c r="AD31" s="106"/>
      <c r="AE31" s="107"/>
      <c r="AF31" s="23"/>
      <c r="AG31" s="16">
        <v>2</v>
      </c>
      <c r="AH31" s="22"/>
      <c r="AI31" s="23"/>
      <c r="AJ31" s="1" t="s">
        <v>8</v>
      </c>
      <c r="AK31" s="23"/>
      <c r="AL31" s="23" t="str">
        <f t="shared" si="2"/>
        <v>Cu2Temp1</v>
      </c>
      <c r="AM31" s="145" t="s">
        <v>108</v>
      </c>
      <c r="AN31" s="146"/>
      <c r="AO31" s="146"/>
      <c r="AP31" s="146"/>
      <c r="AQ31" s="146"/>
      <c r="AR31" s="147"/>
      <c r="AS31" s="23"/>
      <c r="AT31" s="105">
        <v>66</v>
      </c>
      <c r="AU31" s="106"/>
      <c r="AV31" s="106"/>
      <c r="AW31" s="107"/>
      <c r="AX31" s="23"/>
      <c r="AY31" s="16">
        <v>2</v>
      </c>
      <c r="AZ31" s="22"/>
      <c r="BA31" s="23"/>
      <c r="BB31" s="1" t="s">
        <v>8</v>
      </c>
      <c r="BC31" s="35"/>
      <c r="BD31" s="35">
        <f t="shared" si="3"/>
        <v>14</v>
      </c>
      <c r="BE31" s="35">
        <f t="shared" si="4"/>
        <v>10</v>
      </c>
      <c r="BF31" s="59">
        <f t="shared" si="5"/>
        <v>10</v>
      </c>
      <c r="BJ31" s="68" t="str">
        <f t="shared" si="6"/>
        <v>{Psu2Hotspot_T, "PSU2 HotSpot_T", 18, 1, 18, 2, 18, 19,"C"},</v>
      </c>
      <c r="BK31" s="35"/>
      <c r="BL31" s="23"/>
      <c r="BM31" s="23"/>
      <c r="BN31" s="35"/>
      <c r="BO31" s="35"/>
      <c r="BP31" s="35"/>
      <c r="BQ31" s="35"/>
      <c r="BR31" s="35"/>
      <c r="BS31" s="35"/>
      <c r="BT31" s="35"/>
      <c r="BU31" s="35"/>
      <c r="BV31" s="35"/>
      <c r="BW31" s="23"/>
      <c r="BX31" s="23"/>
      <c r="BY31" s="23"/>
      <c r="BZ31" s="23"/>
      <c r="CA31" s="23"/>
      <c r="CB31" s="35" t="str">
        <f t="shared" si="7"/>
        <v>{Cu1Temp1, "CU1 Temp 1", 18, 28, 42, 2, 18, 46,"C"},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35"/>
      <c r="CM31" s="23"/>
      <c r="CN31" s="23"/>
      <c r="CO31" s="23"/>
      <c r="CP31" s="35" t="str">
        <f t="shared" si="8"/>
        <v>{Cu2Temp1, "CU2 Temp 1", 18, 55, 66, 2, 18, 73,"C"},</v>
      </c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36"/>
    </row>
    <row r="32" spans="1:105">
      <c r="A32" s="34">
        <v>19</v>
      </c>
      <c r="B32" s="23" t="str">
        <f t="shared" si="0"/>
        <v>Psu2Inlet_T</v>
      </c>
      <c r="C32" s="145" t="str">
        <f>AM21</f>
        <v>PSU2 Inlet_T</v>
      </c>
      <c r="D32" s="146"/>
      <c r="E32" s="146"/>
      <c r="F32" s="146"/>
      <c r="G32" s="146"/>
      <c r="H32" s="147"/>
      <c r="I32" s="23"/>
      <c r="J32" s="108">
        <v>19</v>
      </c>
      <c r="K32" s="109"/>
      <c r="L32" s="109"/>
      <c r="M32" s="110"/>
      <c r="N32" s="23"/>
      <c r="O32" s="16">
        <v>2</v>
      </c>
      <c r="P32" s="22"/>
      <c r="Q32" s="23"/>
      <c r="R32" s="1" t="s">
        <v>8</v>
      </c>
      <c r="S32" s="23"/>
      <c r="T32" s="23" t="str">
        <f t="shared" si="1"/>
        <v>Cu1Temp2</v>
      </c>
      <c r="U32" s="145" t="s">
        <v>98</v>
      </c>
      <c r="V32" s="146"/>
      <c r="W32" s="146"/>
      <c r="X32" s="146"/>
      <c r="Y32" s="146"/>
      <c r="Z32" s="147"/>
      <c r="AA32" s="23"/>
      <c r="AB32" s="108">
        <v>43</v>
      </c>
      <c r="AC32" s="109"/>
      <c r="AD32" s="109"/>
      <c r="AE32" s="110"/>
      <c r="AF32" s="23"/>
      <c r="AG32" s="16">
        <v>2</v>
      </c>
      <c r="AH32" s="22"/>
      <c r="AI32" s="23"/>
      <c r="AJ32" s="1" t="s">
        <v>8</v>
      </c>
      <c r="AK32" s="23"/>
      <c r="AL32" s="23" t="str">
        <f t="shared" si="2"/>
        <v>Cu2Temp2</v>
      </c>
      <c r="AM32" s="145" t="s">
        <v>109</v>
      </c>
      <c r="AN32" s="146"/>
      <c r="AO32" s="146"/>
      <c r="AP32" s="146"/>
      <c r="AQ32" s="146"/>
      <c r="AR32" s="147"/>
      <c r="AS32" s="23"/>
      <c r="AT32" s="108">
        <v>67</v>
      </c>
      <c r="AU32" s="109"/>
      <c r="AV32" s="109"/>
      <c r="AW32" s="110"/>
      <c r="AX32" s="23"/>
      <c r="AY32" s="16">
        <v>2</v>
      </c>
      <c r="AZ32" s="22"/>
      <c r="BA32" s="23"/>
      <c r="BB32" s="1" t="s">
        <v>8</v>
      </c>
      <c r="BC32" s="35"/>
      <c r="BD32" s="35">
        <f t="shared" si="3"/>
        <v>12</v>
      </c>
      <c r="BE32" s="35">
        <f t="shared" si="4"/>
        <v>10</v>
      </c>
      <c r="BF32" s="59">
        <f t="shared" si="5"/>
        <v>10</v>
      </c>
      <c r="BJ32" s="68" t="str">
        <f t="shared" si="6"/>
        <v>{Psu2Inlet_T, "PSU2 Inlet_T", 19, 1, 19, 2, 19, 19,"C"},</v>
      </c>
      <c r="BK32" s="35"/>
      <c r="BL32" s="23"/>
      <c r="BM32" s="23"/>
      <c r="BN32" s="35"/>
      <c r="BO32" s="35"/>
      <c r="BP32" s="35"/>
      <c r="BQ32" s="35"/>
      <c r="BR32" s="35"/>
      <c r="BS32" s="35"/>
      <c r="BT32" s="35"/>
      <c r="BU32" s="35"/>
      <c r="BV32" s="35"/>
      <c r="BW32" s="23"/>
      <c r="BX32" s="23"/>
      <c r="BY32" s="23"/>
      <c r="BZ32" s="23"/>
      <c r="CA32" s="23"/>
      <c r="CB32" s="35" t="str">
        <f t="shared" si="7"/>
        <v>{Cu1Temp2, "CU1 Temp 2", 19, 28, 43, 2, 19, 46,"C"},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35"/>
      <c r="CM32" s="23"/>
      <c r="CN32" s="23"/>
      <c r="CO32" s="23"/>
      <c r="CP32" s="35" t="str">
        <f t="shared" si="8"/>
        <v>{Cu2Temp2, "CU2 Temp 2", 19, 55, 67, 2, 19, 73,"C"},</v>
      </c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36"/>
    </row>
    <row r="33" spans="1:116" ht="15" thickBot="1">
      <c r="A33" s="34">
        <v>20</v>
      </c>
      <c r="B33" s="23" t="str">
        <f t="shared" si="0"/>
        <v>Psu2Exhaust_T</v>
      </c>
      <c r="C33" s="145" t="str">
        <f>AM22</f>
        <v>PSU2 Exhaust_T</v>
      </c>
      <c r="D33" s="146"/>
      <c r="E33" s="146"/>
      <c r="F33" s="146"/>
      <c r="G33" s="146"/>
      <c r="H33" s="147"/>
      <c r="I33" s="23"/>
      <c r="J33" s="105">
        <v>20</v>
      </c>
      <c r="K33" s="106"/>
      <c r="L33" s="106"/>
      <c r="M33" s="107"/>
      <c r="N33" s="23"/>
      <c r="O33" s="16">
        <v>2</v>
      </c>
      <c r="P33" s="22"/>
      <c r="Q33" s="23"/>
      <c r="R33" s="1" t="s">
        <v>8</v>
      </c>
      <c r="S33" s="23"/>
      <c r="T33" s="23" t="str">
        <f t="shared" si="1"/>
        <v>Cu1Temp3</v>
      </c>
      <c r="U33" s="145" t="s">
        <v>99</v>
      </c>
      <c r="V33" s="146"/>
      <c r="W33" s="146"/>
      <c r="X33" s="146"/>
      <c r="Y33" s="146"/>
      <c r="Z33" s="147"/>
      <c r="AA33" s="23"/>
      <c r="AB33" s="105">
        <v>44</v>
      </c>
      <c r="AC33" s="106"/>
      <c r="AD33" s="106"/>
      <c r="AE33" s="107"/>
      <c r="AF33" s="23"/>
      <c r="AG33" s="16">
        <v>2</v>
      </c>
      <c r="AH33" s="22"/>
      <c r="AI33" s="23"/>
      <c r="AJ33" s="1" t="s">
        <v>8</v>
      </c>
      <c r="AK33" s="23"/>
      <c r="AL33" s="23" t="str">
        <f t="shared" si="2"/>
        <v>Cu2Temp3</v>
      </c>
      <c r="AM33" s="145" t="s">
        <v>110</v>
      </c>
      <c r="AN33" s="146"/>
      <c r="AO33" s="146"/>
      <c r="AP33" s="146"/>
      <c r="AQ33" s="146"/>
      <c r="AR33" s="147"/>
      <c r="AS33" s="23"/>
      <c r="AT33" s="105">
        <v>68</v>
      </c>
      <c r="AU33" s="106"/>
      <c r="AV33" s="106"/>
      <c r="AW33" s="107"/>
      <c r="AX33" s="23"/>
      <c r="AY33" s="16">
        <v>2</v>
      </c>
      <c r="AZ33" s="22"/>
      <c r="BA33" s="23"/>
      <c r="BB33" s="1" t="s">
        <v>8</v>
      </c>
      <c r="BC33" s="35"/>
      <c r="BD33" s="35">
        <f t="shared" si="3"/>
        <v>14</v>
      </c>
      <c r="BE33" s="35">
        <f t="shared" si="4"/>
        <v>10</v>
      </c>
      <c r="BF33" s="59">
        <f t="shared" si="5"/>
        <v>10</v>
      </c>
      <c r="BJ33" s="68" t="str">
        <f t="shared" si="6"/>
        <v>{Psu2Exhaust_T, "PSU2 Exhaust_T", 20, 1, 20, 2, 20, 19,"C"},</v>
      </c>
      <c r="BK33" s="35"/>
      <c r="BL33" s="23"/>
      <c r="BM33" s="23"/>
      <c r="BN33" s="35"/>
      <c r="BO33" s="35"/>
      <c r="BP33" s="35"/>
      <c r="BQ33" s="35"/>
      <c r="BR33" s="35"/>
      <c r="BS33" s="35"/>
      <c r="BT33" s="35"/>
      <c r="BU33" s="35"/>
      <c r="BV33" s="35"/>
      <c r="BW33" s="23"/>
      <c r="BX33" s="23"/>
      <c r="BY33" s="23"/>
      <c r="BZ33" s="23"/>
      <c r="CA33" s="23"/>
      <c r="CB33" s="35" t="str">
        <f t="shared" si="7"/>
        <v>{Cu1Temp3, "CU1 Temp 3", 20, 28, 44, 2, 20, 46,"C"},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35"/>
      <c r="CM33" s="23"/>
      <c r="CN33" s="23"/>
      <c r="CO33" s="23"/>
      <c r="CP33" s="35" t="str">
        <f t="shared" si="8"/>
        <v>{Cu2Temp3, "CU2 Temp 3", 20, 55, 68, 2, 20, 73,"C"},</v>
      </c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36"/>
    </row>
    <row r="34" spans="1:116">
      <c r="A34" s="34">
        <v>21</v>
      </c>
      <c r="B34" s="23" t="str">
        <f t="shared" si="0"/>
        <v>Cu1CtrlTemp</v>
      </c>
      <c r="C34" s="145" t="s">
        <v>100</v>
      </c>
      <c r="D34" s="146"/>
      <c r="E34" s="146"/>
      <c r="F34" s="146"/>
      <c r="G34" s="146"/>
      <c r="H34" s="147"/>
      <c r="I34" s="23"/>
      <c r="J34" s="108">
        <v>21</v>
      </c>
      <c r="K34" s="109"/>
      <c r="L34" s="109"/>
      <c r="M34" s="110"/>
      <c r="N34" s="23"/>
      <c r="O34" s="16">
        <v>2</v>
      </c>
      <c r="P34" s="22"/>
      <c r="Q34" s="23"/>
      <c r="R34" s="1" t="s">
        <v>8</v>
      </c>
      <c r="S34" s="23"/>
      <c r="T34" s="60" t="str">
        <f t="shared" si="1"/>
        <v>Cu1CtrlTemp</v>
      </c>
      <c r="U34" s="145" t="s">
        <v>100</v>
      </c>
      <c r="V34" s="146"/>
      <c r="W34" s="146"/>
      <c r="X34" s="146"/>
      <c r="Y34" s="146"/>
      <c r="Z34" s="147"/>
      <c r="AA34" s="23"/>
      <c r="AB34" s="108">
        <v>45</v>
      </c>
      <c r="AC34" s="109"/>
      <c r="AD34" s="109"/>
      <c r="AE34" s="110"/>
      <c r="AF34" s="23"/>
      <c r="AG34" s="16">
        <v>2</v>
      </c>
      <c r="AH34" s="22"/>
      <c r="AI34" s="23"/>
      <c r="AJ34" s="1" t="s">
        <v>8</v>
      </c>
      <c r="AK34" s="23"/>
      <c r="AL34" s="60" t="str">
        <f t="shared" si="2"/>
        <v>Cu2CtrlTemp</v>
      </c>
      <c r="AM34" s="145" t="s">
        <v>111</v>
      </c>
      <c r="AN34" s="146"/>
      <c r="AO34" s="146"/>
      <c r="AP34" s="146"/>
      <c r="AQ34" s="146"/>
      <c r="AR34" s="147"/>
      <c r="AS34" s="23"/>
      <c r="AT34" s="108">
        <v>69</v>
      </c>
      <c r="AU34" s="109"/>
      <c r="AV34" s="109"/>
      <c r="AW34" s="110"/>
      <c r="AX34" s="23"/>
      <c r="AY34" s="16">
        <v>2</v>
      </c>
      <c r="AZ34" s="22"/>
      <c r="BA34" s="23"/>
      <c r="BB34" s="1" t="s">
        <v>8</v>
      </c>
      <c r="BC34" s="35"/>
      <c r="BD34" s="35">
        <f t="shared" si="3"/>
        <v>13</v>
      </c>
      <c r="BE34" s="35">
        <f t="shared" si="4"/>
        <v>13</v>
      </c>
      <c r="BF34" s="59">
        <f t="shared" si="5"/>
        <v>13</v>
      </c>
      <c r="BJ34" s="68" t="str">
        <f t="shared" si="6"/>
        <v>{Cu1CtrlTemp, "CU1 Ctrl Temp", 21, 1, 21, 2, 21, 19,"C"},</v>
      </c>
      <c r="BK34" s="35"/>
      <c r="BL34" s="23"/>
      <c r="BM34" s="23"/>
      <c r="BN34" s="35"/>
      <c r="BO34" s="35"/>
      <c r="BP34" s="35"/>
      <c r="BQ34" s="35"/>
      <c r="BR34" s="35"/>
      <c r="BS34" s="35"/>
      <c r="BT34" s="35"/>
      <c r="BU34" s="35"/>
      <c r="BV34" s="35"/>
      <c r="BW34" s="23"/>
      <c r="BX34" s="23"/>
      <c r="BY34" s="23"/>
      <c r="BZ34" s="23"/>
      <c r="CA34" s="23"/>
      <c r="CB34" s="35" t="str">
        <f t="shared" si="7"/>
        <v>{Cu1CtrlTemp, "CU1 Ctrl Temp", 21, 28, 45, 2, 21, 46,"C"},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35"/>
      <c r="CM34" s="23"/>
      <c r="CN34" s="23"/>
      <c r="CO34" s="23"/>
      <c r="CP34" s="35" t="str">
        <f t="shared" si="8"/>
        <v>{Cu2CtrlTemp, "CU2 Ctrl Temp", 21, 55, 69, 2, 21, 73,"C"},</v>
      </c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36"/>
    </row>
    <row r="35" spans="1:116" ht="15" thickBot="1">
      <c r="A35" s="34">
        <v>22</v>
      </c>
      <c r="B35" s="23" t="str">
        <f t="shared" si="0"/>
        <v>Cu1Remote</v>
      </c>
      <c r="C35" s="145" t="s">
        <v>101</v>
      </c>
      <c r="D35" s="146"/>
      <c r="E35" s="146"/>
      <c r="F35" s="146"/>
      <c r="G35" s="146"/>
      <c r="H35" s="147"/>
      <c r="I35" s="23"/>
      <c r="J35" s="105">
        <v>22</v>
      </c>
      <c r="K35" s="106"/>
      <c r="L35" s="106"/>
      <c r="M35" s="107"/>
      <c r="N35" s="23"/>
      <c r="O35" s="16">
        <v>2</v>
      </c>
      <c r="P35" s="22"/>
      <c r="Q35" s="23"/>
      <c r="R35" s="1" t="s">
        <v>8</v>
      </c>
      <c r="S35" s="23"/>
      <c r="T35" s="60" t="str">
        <f t="shared" si="1"/>
        <v>Cu1Remote</v>
      </c>
      <c r="U35" s="145" t="s">
        <v>101</v>
      </c>
      <c r="V35" s="146"/>
      <c r="W35" s="146"/>
      <c r="X35" s="146"/>
      <c r="Y35" s="146"/>
      <c r="Z35" s="147"/>
      <c r="AA35" s="23"/>
      <c r="AB35" s="105">
        <v>46</v>
      </c>
      <c r="AC35" s="106"/>
      <c r="AD35" s="106"/>
      <c r="AE35" s="107"/>
      <c r="AF35" s="23"/>
      <c r="AG35" s="16">
        <v>2</v>
      </c>
      <c r="AH35" s="22"/>
      <c r="AI35" s="23"/>
      <c r="AJ35" s="1" t="s">
        <v>8</v>
      </c>
      <c r="AK35" s="23"/>
      <c r="AL35" s="60" t="str">
        <f t="shared" si="2"/>
        <v>Cu2Remote</v>
      </c>
      <c r="AM35" s="145" t="s">
        <v>112</v>
      </c>
      <c r="AN35" s="146"/>
      <c r="AO35" s="146"/>
      <c r="AP35" s="146"/>
      <c r="AQ35" s="146"/>
      <c r="AR35" s="147"/>
      <c r="AS35" s="23"/>
      <c r="AT35" s="105">
        <v>70</v>
      </c>
      <c r="AU35" s="106"/>
      <c r="AV35" s="106"/>
      <c r="AW35" s="107"/>
      <c r="AX35" s="23"/>
      <c r="AY35" s="16">
        <v>2</v>
      </c>
      <c r="AZ35" s="22"/>
      <c r="BA35" s="23"/>
      <c r="BB35" s="1" t="s">
        <v>8</v>
      </c>
      <c r="BC35" s="35"/>
      <c r="BD35" s="35">
        <f t="shared" si="3"/>
        <v>10</v>
      </c>
      <c r="BE35" s="35">
        <f t="shared" si="4"/>
        <v>10</v>
      </c>
      <c r="BF35" s="59">
        <f t="shared" si="5"/>
        <v>10</v>
      </c>
      <c r="BJ35" s="68" t="str">
        <f t="shared" si="6"/>
        <v>{Cu1Remote, "CU1 Remote", 22, 1, 22, 2, 22, 19,"C"},</v>
      </c>
      <c r="BK35" s="35"/>
      <c r="BL35" s="23"/>
      <c r="BM35" s="23"/>
      <c r="BN35" s="35"/>
      <c r="BO35" s="35"/>
      <c r="BP35" s="35"/>
      <c r="BQ35" s="35"/>
      <c r="BR35" s="35"/>
      <c r="BS35" s="35"/>
      <c r="BT35" s="35"/>
      <c r="BU35" s="35"/>
      <c r="BV35" s="35"/>
      <c r="BW35" s="23"/>
      <c r="BX35" s="23"/>
      <c r="BY35" s="23"/>
      <c r="BZ35" s="23"/>
      <c r="CA35" s="23"/>
      <c r="CB35" s="35" t="str">
        <f t="shared" si="7"/>
        <v>{Cu1Remote, "CU1 Remote", 22, 28, 46, 2, 22, 46,"C"},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35"/>
      <c r="CM35" s="23"/>
      <c r="CN35" s="23"/>
      <c r="CO35" s="23"/>
      <c r="CP35" s="35" t="str">
        <f t="shared" si="8"/>
        <v>{Cu2Remote, "CU2 Remote", 22, 55, 70, 2, 22, 73,"C"},</v>
      </c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36"/>
    </row>
    <row r="36" spans="1:116">
      <c r="A36" s="34">
        <v>23</v>
      </c>
      <c r="B36" s="23" t="str">
        <f t="shared" si="0"/>
        <v>Cu2CtrlTemp</v>
      </c>
      <c r="C36" s="145" t="s">
        <v>111</v>
      </c>
      <c r="D36" s="146"/>
      <c r="E36" s="146"/>
      <c r="F36" s="146"/>
      <c r="G36" s="146"/>
      <c r="H36" s="147"/>
      <c r="I36" s="23"/>
      <c r="J36" s="108">
        <v>23</v>
      </c>
      <c r="K36" s="109"/>
      <c r="L36" s="109"/>
      <c r="M36" s="110"/>
      <c r="N36" s="23"/>
      <c r="O36" s="16">
        <v>2</v>
      </c>
      <c r="P36" s="22"/>
      <c r="Q36" s="23"/>
      <c r="R36" s="1" t="s">
        <v>8</v>
      </c>
      <c r="S36" s="23"/>
      <c r="T36" s="23" t="s">
        <v>123</v>
      </c>
      <c r="U36" s="145" t="s">
        <v>313</v>
      </c>
      <c r="V36" s="146"/>
      <c r="W36" s="146"/>
      <c r="X36" s="146"/>
      <c r="Y36" s="146"/>
      <c r="Z36" s="147"/>
      <c r="AA36" s="23"/>
      <c r="AB36" s="108">
        <v>47</v>
      </c>
      <c r="AC36" s="109"/>
      <c r="AD36" s="109"/>
      <c r="AE36" s="110"/>
      <c r="AF36" s="23"/>
      <c r="AG36" s="16">
        <v>4</v>
      </c>
      <c r="AH36" s="22"/>
      <c r="AI36" s="23"/>
      <c r="AJ36" s="1" t="s">
        <v>314</v>
      </c>
      <c r="AK36" s="23"/>
      <c r="AL36" s="23" t="s">
        <v>125</v>
      </c>
      <c r="AM36" s="145" t="s">
        <v>313</v>
      </c>
      <c r="AN36" s="146"/>
      <c r="AO36" s="146"/>
      <c r="AP36" s="146"/>
      <c r="AQ36" s="146"/>
      <c r="AR36" s="147"/>
      <c r="AS36" s="23"/>
      <c r="AT36" s="108">
        <v>71</v>
      </c>
      <c r="AU36" s="109"/>
      <c r="AV36" s="109"/>
      <c r="AW36" s="110"/>
      <c r="AX36" s="23"/>
      <c r="AY36" s="16">
        <v>4</v>
      </c>
      <c r="AZ36" s="22"/>
      <c r="BA36" s="23"/>
      <c r="BB36" s="1" t="s">
        <v>314</v>
      </c>
      <c r="BC36" s="35"/>
      <c r="BD36" s="35">
        <f t="shared" si="3"/>
        <v>13</v>
      </c>
      <c r="BE36" s="35">
        <f t="shared" si="4"/>
        <v>15</v>
      </c>
      <c r="BF36" s="59">
        <f t="shared" si="5"/>
        <v>15</v>
      </c>
      <c r="BJ36" s="68" t="str">
        <f t="shared" si="6"/>
        <v>{Cu2CtrlTemp, "CU2 Ctrl Temp", 23, 1, 23, 2, 23, 19,"C"},</v>
      </c>
      <c r="BK36" s="35"/>
      <c r="BL36" s="23"/>
      <c r="BM36" s="23"/>
      <c r="BN36" s="35"/>
      <c r="BO36" s="35"/>
      <c r="BP36" s="35"/>
      <c r="BQ36" s="35"/>
      <c r="BR36" s="35"/>
      <c r="BS36" s="35"/>
      <c r="BT36" s="35"/>
      <c r="BU36" s="35"/>
      <c r="BV36" s="35"/>
      <c r="BW36" s="23"/>
      <c r="BX36" s="23"/>
      <c r="BY36" s="23"/>
      <c r="BZ36" s="23"/>
      <c r="CA36" s="23"/>
      <c r="CB36" s="35" t="str">
        <f t="shared" si="7"/>
        <v>{Blank46, "XXXXXXXXXXXXXXX", 23, 28, 47, 4, 23, 46,"X"},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35"/>
      <c r="CM36" s="23"/>
      <c r="CN36" s="23"/>
      <c r="CO36" s="23"/>
      <c r="CP36" s="35" t="str">
        <f t="shared" si="8"/>
        <v>{Blank70, "XXXXXXXXXXXXXXX", 23, 55, 71, 4, 23, 73,"X"},</v>
      </c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36"/>
    </row>
    <row r="37" spans="1:116" ht="15" thickBot="1">
      <c r="A37" s="54">
        <v>24</v>
      </c>
      <c r="B37" s="37" t="str">
        <f t="shared" si="0"/>
        <v>Cu2Remote</v>
      </c>
      <c r="C37" s="151" t="s">
        <v>112</v>
      </c>
      <c r="D37" s="152"/>
      <c r="E37" s="152"/>
      <c r="F37" s="152"/>
      <c r="G37" s="152"/>
      <c r="H37" s="153"/>
      <c r="I37" s="37"/>
      <c r="J37" s="105">
        <v>24</v>
      </c>
      <c r="K37" s="106"/>
      <c r="L37" s="106"/>
      <c r="M37" s="107"/>
      <c r="N37" s="37"/>
      <c r="O37" s="16">
        <v>2</v>
      </c>
      <c r="P37" s="55"/>
      <c r="Q37" s="37"/>
      <c r="R37" s="12" t="s">
        <v>8</v>
      </c>
      <c r="S37" s="37"/>
      <c r="T37" s="37" t="s">
        <v>124</v>
      </c>
      <c r="U37" s="145" t="s">
        <v>313</v>
      </c>
      <c r="V37" s="146"/>
      <c r="W37" s="146"/>
      <c r="X37" s="146"/>
      <c r="Y37" s="146"/>
      <c r="Z37" s="147"/>
      <c r="AA37" s="37"/>
      <c r="AB37" s="105">
        <v>48</v>
      </c>
      <c r="AC37" s="106"/>
      <c r="AD37" s="106"/>
      <c r="AE37" s="107"/>
      <c r="AF37" s="37"/>
      <c r="AG37" s="57">
        <v>4</v>
      </c>
      <c r="AH37" s="55"/>
      <c r="AI37" s="37"/>
      <c r="AJ37" s="12" t="s">
        <v>314</v>
      </c>
      <c r="AK37" s="37"/>
      <c r="AL37" s="37" t="s">
        <v>126</v>
      </c>
      <c r="AM37" s="145" t="s">
        <v>313</v>
      </c>
      <c r="AN37" s="146"/>
      <c r="AO37" s="146"/>
      <c r="AP37" s="146"/>
      <c r="AQ37" s="146"/>
      <c r="AR37" s="147"/>
      <c r="AS37" s="37"/>
      <c r="AT37" s="105">
        <v>72</v>
      </c>
      <c r="AU37" s="106"/>
      <c r="AV37" s="106"/>
      <c r="AW37" s="107"/>
      <c r="AX37" s="37"/>
      <c r="AY37" s="57">
        <v>4</v>
      </c>
      <c r="AZ37" s="55"/>
      <c r="BA37" s="37"/>
      <c r="BB37" s="12" t="s">
        <v>314</v>
      </c>
      <c r="BC37" s="38"/>
      <c r="BD37" s="38">
        <f t="shared" si="3"/>
        <v>10</v>
      </c>
      <c r="BE37" s="38">
        <f t="shared" si="4"/>
        <v>15</v>
      </c>
      <c r="BF37" s="61">
        <f t="shared" si="5"/>
        <v>15</v>
      </c>
      <c r="BJ37" s="69" t="str">
        <f t="shared" si="6"/>
        <v>{Cu2Remote, "CU2 Remote", 24, 1, 24, 2, 24, 19,"C"},</v>
      </c>
      <c r="BK37" s="38"/>
      <c r="BL37" s="37"/>
      <c r="BM37" s="37"/>
      <c r="BN37" s="38"/>
      <c r="BO37" s="38"/>
      <c r="BP37" s="38"/>
      <c r="BQ37" s="38"/>
      <c r="BR37" s="38"/>
      <c r="BS37" s="38"/>
      <c r="BT37" s="38"/>
      <c r="BU37" s="38"/>
      <c r="BV37" s="38"/>
      <c r="BW37" s="37"/>
      <c r="BX37" s="37"/>
      <c r="BY37" s="37"/>
      <c r="BZ37" s="37"/>
      <c r="CA37" s="37"/>
      <c r="CB37" s="38" t="str">
        <f t="shared" si="7"/>
        <v>{Blank47, "XXXXXXXXXXXXXXX", 24, 28, 48, 4, 24, 46,"X"},</v>
      </c>
      <c r="CC37" s="37"/>
      <c r="CD37" s="37"/>
      <c r="CE37" s="37"/>
      <c r="CF37" s="37"/>
      <c r="CG37" s="37"/>
      <c r="CH37" s="37"/>
      <c r="CI37" s="37"/>
      <c r="CJ37" s="37"/>
      <c r="CK37" s="37"/>
      <c r="CL37" s="38"/>
      <c r="CM37" s="37"/>
      <c r="CN37" s="37"/>
      <c r="CO37" s="37"/>
      <c r="CP37" s="38" t="str">
        <f t="shared" si="8"/>
        <v>{Blank71, "XXXXXXXXXXXXXXX", 24, 55, 72, 4, 24, 73,"X"},</v>
      </c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9"/>
    </row>
    <row r="38" spans="1:116">
      <c r="A38">
        <v>25</v>
      </c>
      <c r="C38" s="139" t="s">
        <v>29</v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1"/>
    </row>
    <row r="39" spans="1:116">
      <c r="AJ39" s="23"/>
    </row>
    <row r="40" spans="1:116">
      <c r="U40" s="43"/>
      <c r="V40" s="43"/>
      <c r="W40" s="43"/>
      <c r="X40" s="43"/>
      <c r="Y40" s="43"/>
      <c r="Z40" s="43"/>
      <c r="AA40" s="23"/>
      <c r="BJ40" s="26" t="s">
        <v>254</v>
      </c>
    </row>
    <row r="41" spans="1:116">
      <c r="C41" t="s">
        <v>299</v>
      </c>
      <c r="S41" t="s">
        <v>303</v>
      </c>
      <c r="BJ41" s="51"/>
    </row>
    <row r="42" spans="1:116">
      <c r="C42" t="s">
        <v>300</v>
      </c>
      <c r="S42" t="s">
        <v>304</v>
      </c>
      <c r="BJ42" s="51" t="str">
        <f>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"&amp;$B$21&amp;", "</f>
        <v xml:space="preserve">PolL2Vdd_T, Psu1Vin, Psu2Vin, PolVint1V0_T, Psu1Iin, Psu2Iin, BrdLocal1_T, Psu1Pin, Psu2Pin, CpDieRmt_T, Psu1Vout, Psu2Vout, CpXadcDie_T, Psu1Iout, Psu2Iout, CpAdcMinDie_T, Psu1Pout, Psu2Pout, CpAdcMaxDie_T, BrdLocal2_T, </v>
      </c>
    </row>
    <row r="43" spans="1:116">
      <c r="C43" t="s">
        <v>301</v>
      </c>
      <c r="S43" t="s">
        <v>305</v>
      </c>
      <c r="BJ43" s="51" t="str">
        <f>$B$22&amp;", "&amp;$B$23&amp;", "&amp;$T$23&amp;", "&amp;$AL$23&amp;", "&amp;$B$24&amp;",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CjDieRmt_T, CjXadcDie_T, Psu1FanSpd, Psu2FanSpd, CjAdcMinDie_T, Psu1Efficiency, Psu2Efficiency, CjAdcMaxDie_T, Cu1FanSpd1, Cu2FanSpd1, BrdLocal3_T, Cu1FanSpd2, Cu2FanSpd2, L2DieRmt_T, Cu1FanSpd3, Cu2FanSpd3, Psu1Hotspot_T, Cu1FanSpd4, Cu2FanSpd4, Psu1Inlet_T, Cu1FanSpd5, Cu2FanSpd5,</v>
      </c>
    </row>
    <row r="44" spans="1:116">
      <c r="D44" t="str">
        <f>"{"&amp;T14&amp;", "&amp;"0x88"&amp;"}, "</f>
        <v xml:space="preserve">{Psu1Vin, 0x88}, </v>
      </c>
      <c r="I44" s="26"/>
      <c r="S44" t="s">
        <v>306</v>
      </c>
      <c r="T44" t="str">
        <f>"{"&amp;T20&amp;", "&amp;"0x8D"&amp;"}, "</f>
        <v xml:space="preserve">{Psu1Hotspot_T, 0x8D}, </v>
      </c>
      <c r="BJ44" s="51" t="str">
        <f>$B$30&amp;", "&amp;$T$30&amp;", "&amp;$AL$30&amp;", "&amp;$B$31&amp;", "&amp;$T$31&amp;", "&amp;$AL$31&amp;", "&amp;$B$32&amp;", "&amp;$T$32&amp;", "&amp;$AL$32&amp;", "&amp;$B$33&amp;", "&amp;$T$33&amp;", "&amp;$AL$33&amp;", "&amp;$B$34&amp;", "&amp;$B$35&amp;", "&amp;$B$36&amp;", "&amp;$T$36&amp;", "&amp;$AL$36&amp;", "&amp;$B$37&amp;", "&amp;$T$37&amp;", "&amp;$AL$37&amp;", "&amp; "Parm_Index_Last"&amp;"}"</f>
        <v>Psu1Exhaust_T, Cu1FanSpd6, Cu2FanSpd6, Psu2Hotspot_T, Cu1Temp1, Cu2Temp1, Psu2Inlet_T, Cu1Temp2, Cu2Temp2, Psu2Exhaust_T, Cu1Temp3, Cu2Temp3, Cu1CtrlTemp, Cu1Remote, Cu2CtrlTemp, Blank46, Blank70, Cu2Remote, Blank47, Blank71, Parm_Index_Last}</v>
      </c>
    </row>
    <row r="45" spans="1:116">
      <c r="D45" t="str">
        <f>"{"&amp;T15&amp;", "&amp;"0x89"&amp;"}, "</f>
        <v xml:space="preserve">{Psu1Iin, 0x89}, </v>
      </c>
      <c r="S45" t="s">
        <v>307</v>
      </c>
      <c r="T45" t="str">
        <f>"{"&amp;T21&amp;", "&amp;"0x8E"&amp;"}, "</f>
        <v xml:space="preserve">{Psu1Inlet_T, 0x8E}, </v>
      </c>
      <c r="BJ45" s="51"/>
    </row>
    <row r="46" spans="1:116">
      <c r="D46" t="str">
        <f>"{"&amp;T16&amp;", "&amp;"0x97"&amp;"}, "</f>
        <v xml:space="preserve">{Psu1Pin, 0x97}, </v>
      </c>
      <c r="S46" t="s">
        <v>308</v>
      </c>
      <c r="T46" t="str">
        <f>"{"&amp;T22&amp;", "&amp;"0x8F"&amp;"}, "</f>
        <v xml:space="preserve">{Psu1Exhaust_T, 0x8F}, </v>
      </c>
      <c r="DL46" t="s">
        <v>328</v>
      </c>
    </row>
    <row r="47" spans="1:116">
      <c r="D47" t="str">
        <f>"{"&amp;T17&amp;", "&amp;"0x8B"&amp;"}, "</f>
        <v xml:space="preserve">{Psu1Vout, 0x8B}, </v>
      </c>
      <c r="S47" t="s">
        <v>309</v>
      </c>
      <c r="T47" t="str">
        <f>"{"&amp;T23&amp;", "&amp;"0x90"&amp;"}, "</f>
        <v xml:space="preserve">{Psu1FanSpd, 0x90}, </v>
      </c>
    </row>
    <row r="48" spans="1:116">
      <c r="D48" t="str">
        <f>"{"&amp;T18&amp;", "&amp;"0x8C"&amp;"}, "</f>
        <v xml:space="preserve">{Psu1Iout, 0x8C}, </v>
      </c>
      <c r="S48" t="s">
        <v>310</v>
      </c>
    </row>
    <row r="49" spans="3:4">
      <c r="D49" t="str">
        <f>"{"&amp;T19&amp;", "&amp;"0x96"&amp;"}, "</f>
        <v xml:space="preserve">{Psu1Pout, 0x96}, </v>
      </c>
    </row>
    <row r="50" spans="3:4">
      <c r="C50" t="s">
        <v>302</v>
      </c>
    </row>
  </sheetData>
  <mergeCells count="158">
    <mergeCell ref="C33:H33"/>
    <mergeCell ref="C38:BD38"/>
    <mergeCell ref="J37:M37"/>
    <mergeCell ref="AB37:AE37"/>
    <mergeCell ref="AM37:AR37"/>
    <mergeCell ref="AT37:AW37"/>
    <mergeCell ref="J36:M36"/>
    <mergeCell ref="AB36:AE36"/>
    <mergeCell ref="AM36:AR36"/>
    <mergeCell ref="AT36:AW36"/>
    <mergeCell ref="C36:H36"/>
    <mergeCell ref="C37:H37"/>
    <mergeCell ref="U36:Z36"/>
    <mergeCell ref="U37:Z37"/>
    <mergeCell ref="J33:M33"/>
    <mergeCell ref="U33:Z33"/>
    <mergeCell ref="AB33:AE33"/>
    <mergeCell ref="AM33:AR33"/>
    <mergeCell ref="AT33:AW33"/>
    <mergeCell ref="C35:H35"/>
    <mergeCell ref="C34:H34"/>
    <mergeCell ref="J32:M32"/>
    <mergeCell ref="U32:Z32"/>
    <mergeCell ref="AB32:AE32"/>
    <mergeCell ref="AM32:AR32"/>
    <mergeCell ref="AT32:AW32"/>
    <mergeCell ref="J35:M35"/>
    <mergeCell ref="U35:Z35"/>
    <mergeCell ref="AB35:AE35"/>
    <mergeCell ref="AM35:AR35"/>
    <mergeCell ref="AT35:AW35"/>
    <mergeCell ref="J34:M34"/>
    <mergeCell ref="U34:Z34"/>
    <mergeCell ref="AB34:AE34"/>
    <mergeCell ref="AM34:AR34"/>
    <mergeCell ref="AT34:AW34"/>
    <mergeCell ref="C29:H29"/>
    <mergeCell ref="J29:M29"/>
    <mergeCell ref="U29:Z29"/>
    <mergeCell ref="AB29:AE29"/>
    <mergeCell ref="AM29:AR29"/>
    <mergeCell ref="AT29:AW29"/>
    <mergeCell ref="C32:H32"/>
    <mergeCell ref="J28:M28"/>
    <mergeCell ref="U28:Z28"/>
    <mergeCell ref="AB28:AE28"/>
    <mergeCell ref="AM28:AR28"/>
    <mergeCell ref="AT28:AW28"/>
    <mergeCell ref="J31:M31"/>
    <mergeCell ref="U31:Z31"/>
    <mergeCell ref="AB31:AE31"/>
    <mergeCell ref="AM31:AR31"/>
    <mergeCell ref="AT31:AW31"/>
    <mergeCell ref="J30:M30"/>
    <mergeCell ref="U30:Z30"/>
    <mergeCell ref="AB30:AE30"/>
    <mergeCell ref="AM30:AR30"/>
    <mergeCell ref="AT30:AW30"/>
    <mergeCell ref="C31:H31"/>
    <mergeCell ref="C30:H30"/>
    <mergeCell ref="J25:M25"/>
    <mergeCell ref="U25:Z25"/>
    <mergeCell ref="AB25:AE25"/>
    <mergeCell ref="AM25:AR25"/>
    <mergeCell ref="AT25:AW25"/>
    <mergeCell ref="C28:H28"/>
    <mergeCell ref="J24:M24"/>
    <mergeCell ref="AB24:AE24"/>
    <mergeCell ref="AM24:AR24"/>
    <mergeCell ref="AT24:AW24"/>
    <mergeCell ref="U24:Z24"/>
    <mergeCell ref="C27:H27"/>
    <mergeCell ref="C25:H25"/>
    <mergeCell ref="C26:H26"/>
    <mergeCell ref="J27:M27"/>
    <mergeCell ref="U27:Z27"/>
    <mergeCell ref="AB27:AE27"/>
    <mergeCell ref="AM27:AR27"/>
    <mergeCell ref="AT27:AW27"/>
    <mergeCell ref="J26:M26"/>
    <mergeCell ref="U26:Z26"/>
    <mergeCell ref="AB26:AE26"/>
    <mergeCell ref="AM26:AR26"/>
    <mergeCell ref="AT26:AW26"/>
    <mergeCell ref="J23:M23"/>
    <mergeCell ref="U23:Z23"/>
    <mergeCell ref="AB23:AE23"/>
    <mergeCell ref="AM23:AR23"/>
    <mergeCell ref="AT23:AW23"/>
    <mergeCell ref="C24:H24"/>
    <mergeCell ref="J22:M22"/>
    <mergeCell ref="U22:Z22"/>
    <mergeCell ref="AB22:AE22"/>
    <mergeCell ref="AM22:AR22"/>
    <mergeCell ref="AT22:AW22"/>
    <mergeCell ref="C23:H23"/>
    <mergeCell ref="C22:H22"/>
    <mergeCell ref="AT20:AW20"/>
    <mergeCell ref="C21:H21"/>
    <mergeCell ref="J19:M19"/>
    <mergeCell ref="U19:Z19"/>
    <mergeCell ref="AB19:AE19"/>
    <mergeCell ref="AM19:AR19"/>
    <mergeCell ref="AT19:AW19"/>
    <mergeCell ref="C18:H18"/>
    <mergeCell ref="J18:M18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U16:Z16"/>
    <mergeCell ref="AB18:AE18"/>
    <mergeCell ref="AM18:AR18"/>
    <mergeCell ref="AT18:AW18"/>
    <mergeCell ref="U17:Z17"/>
    <mergeCell ref="U18:Z18"/>
    <mergeCell ref="C17:H17"/>
    <mergeCell ref="J17:M17"/>
    <mergeCell ref="AB17:AE17"/>
    <mergeCell ref="AM17:AR17"/>
    <mergeCell ref="AT17:AW17"/>
    <mergeCell ref="C16:H16"/>
    <mergeCell ref="J16:M16"/>
    <mergeCell ref="AB16:AE16"/>
    <mergeCell ref="AM16:AR16"/>
    <mergeCell ref="AT16:AW16"/>
    <mergeCell ref="C11:R11"/>
    <mergeCell ref="U11:Z11"/>
    <mergeCell ref="AD11:AS11"/>
    <mergeCell ref="AV11:BA11"/>
    <mergeCell ref="BE11:BT11"/>
    <mergeCell ref="BW11:CB11"/>
    <mergeCell ref="U2:Z2"/>
    <mergeCell ref="AV2:BA2"/>
    <mergeCell ref="BW2:CB2"/>
    <mergeCell ref="U10:Z10"/>
    <mergeCell ref="AV10:BA10"/>
    <mergeCell ref="BW10:CB10"/>
    <mergeCell ref="AA8:AF8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</mergeCells>
  <conditionalFormatting sqref="V18:Z19 V15:Z16 U14:U19 AM14:AR19 X20:Z22 U20:V22 AP20:AR22 AM20:AN22 AO22 U22:Z35 D15:H24 C14:C37 AM23:AR37">
    <cfRule type="cellIs" dxfId="29" priority="39" operator="lessThan">
      <formula>17</formula>
    </cfRule>
  </conditionalFormatting>
  <conditionalFormatting sqref="U14:U35 C14:C37 AM14:AM37">
    <cfRule type="cellIs" dxfId="28" priority="38" operator="lessThan">
      <formula>16</formula>
    </cfRule>
  </conditionalFormatting>
  <conditionalFormatting sqref="BD15 BD18 BD21 BD27 BD33 BD24 BD30 BD36">
    <cfRule type="cellIs" dxfId="27" priority="37" stopIfTrue="1" operator="lessThan">
      <formula>"&lt;16"</formula>
    </cfRule>
  </conditionalFormatting>
  <conditionalFormatting sqref="BD14:BF37">
    <cfRule type="cellIs" dxfId="26" priority="35" operator="greaterThan">
      <formula>16</formula>
    </cfRule>
    <cfRule type="cellIs" dxfId="25" priority="36" operator="lessThan">
      <formula>17</formula>
    </cfRule>
  </conditionalFormatting>
  <conditionalFormatting sqref="U36:Z36">
    <cfRule type="cellIs" dxfId="24" priority="4" operator="lessThan">
      <formula>17</formula>
    </cfRule>
  </conditionalFormatting>
  <conditionalFormatting sqref="U36">
    <cfRule type="cellIs" dxfId="23" priority="3" operator="lessThan">
      <formula>16</formula>
    </cfRule>
  </conditionalFormatting>
  <conditionalFormatting sqref="U37:Z37">
    <cfRule type="cellIs" dxfId="22" priority="2" operator="lessThan">
      <formula>17</formula>
    </cfRule>
  </conditionalFormatting>
  <conditionalFormatting sqref="U37">
    <cfRule type="cellIs" dxfId="21" priority="1" operator="lessThan">
      <formula>16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B72"/>
  <sheetViews>
    <sheetView tabSelected="1" topLeftCell="AM7" zoomScaleNormal="100" workbookViewId="0">
      <selection activeCell="U41" sqref="U41:Z41"/>
    </sheetView>
  </sheetViews>
  <sheetFormatPr defaultRowHeight="14.4"/>
  <cols>
    <col min="1" max="1" width="4.33203125" bestFit="1" customWidth="1"/>
    <col min="2" max="2" width="18.88671875" bestFit="1" customWidth="1"/>
    <col min="3" max="4" width="3" customWidth="1"/>
    <col min="5" max="5" width="3" bestFit="1" customWidth="1"/>
    <col min="6" max="7" width="3" customWidth="1"/>
    <col min="8" max="8" width="4.33203125" bestFit="1" customWidth="1"/>
    <col min="9" max="9" width="3" customWidth="1"/>
    <col min="10" max="14" width="4.33203125" bestFit="1" customWidth="1"/>
    <col min="15" max="15" width="8.44140625" bestFit="1" customWidth="1"/>
    <col min="16" max="19" width="4.33203125" bestFit="1" customWidth="1"/>
    <col min="20" max="20" width="18.33203125" bestFit="1" customWidth="1"/>
    <col min="21" max="32" width="4.33203125" bestFit="1" customWidth="1"/>
    <col min="33" max="33" width="8.44140625" bestFit="1" customWidth="1"/>
    <col min="34" max="37" width="4.33203125" bestFit="1" customWidth="1"/>
    <col min="38" max="38" width="16.6640625" bestFit="1" customWidth="1"/>
    <col min="39" max="50" width="4.33203125" bestFit="1" customWidth="1"/>
    <col min="51" max="51" width="8.44140625" bestFit="1" customWidth="1"/>
    <col min="52" max="54" width="4.33203125" bestFit="1" customWidth="1"/>
    <col min="55" max="58" width="4.33203125" style="26" bestFit="1" customWidth="1"/>
    <col min="59" max="74" width="3" style="26" customWidth="1"/>
    <col min="75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6" s="23" customFormat="1"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</row>
    <row r="2" spans="1:106" s="23" customFormat="1"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U2" s="154"/>
      <c r="V2" s="154"/>
      <c r="W2" s="154"/>
      <c r="X2" s="154"/>
      <c r="Y2" s="154"/>
      <c r="Z2" s="154"/>
      <c r="AB2" s="20"/>
      <c r="AC2" s="20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V2" s="154"/>
      <c r="AW2" s="154"/>
      <c r="AX2" s="154"/>
      <c r="AY2" s="154"/>
      <c r="AZ2" s="154"/>
      <c r="BA2" s="154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154"/>
      <c r="BX2" s="154"/>
      <c r="BY2" s="154"/>
      <c r="BZ2" s="154"/>
      <c r="CA2" s="154"/>
      <c r="CB2" s="154"/>
      <c r="CD2" s="20"/>
      <c r="CE2" s="20"/>
      <c r="CJ2" s="89"/>
    </row>
    <row r="3" spans="1:106" s="23" customFormat="1">
      <c r="AY3" s="40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Z3" s="40"/>
      <c r="CH3" s="35"/>
      <c r="CI3" s="35"/>
      <c r="CJ3" s="89"/>
      <c r="CK3" s="35"/>
      <c r="CL3" s="35"/>
      <c r="CM3" s="35"/>
      <c r="CN3" s="35"/>
      <c r="CO3" s="35"/>
    </row>
    <row r="4" spans="1:106" s="23" customFormat="1">
      <c r="W4" s="20"/>
      <c r="X4" s="20"/>
      <c r="Y4" s="20"/>
      <c r="Z4" s="20"/>
      <c r="AC4" s="40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CH4" s="89"/>
      <c r="CI4" s="35"/>
      <c r="CJ4" s="89"/>
      <c r="CK4" s="35"/>
      <c r="CL4" s="35"/>
      <c r="CM4" s="35"/>
      <c r="CN4" s="35"/>
      <c r="CO4" s="35"/>
    </row>
    <row r="5" spans="1:106" s="23" customFormat="1">
      <c r="W5" s="20"/>
      <c r="X5" s="20"/>
      <c r="Y5" s="20"/>
      <c r="Z5" s="20"/>
      <c r="AD5" s="40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CH5" s="89"/>
      <c r="CI5" s="35"/>
      <c r="CJ5" s="35"/>
      <c r="CK5" s="35"/>
      <c r="CL5" s="35"/>
      <c r="CM5" s="35"/>
      <c r="CN5" s="35"/>
      <c r="CO5" s="35"/>
    </row>
    <row r="6" spans="1:106" s="23" customFormat="1">
      <c r="W6" s="20"/>
      <c r="X6" s="20"/>
      <c r="Y6" s="20"/>
      <c r="Z6" s="20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CH6" s="89"/>
      <c r="CI6" s="35"/>
      <c r="CJ6" s="89"/>
      <c r="CK6" s="35"/>
      <c r="CL6" s="35"/>
      <c r="CM6" s="35"/>
      <c r="CN6" s="35"/>
      <c r="CO6" s="35"/>
    </row>
    <row r="7" spans="1:106" ht="15" thickBot="1">
      <c r="B7" t="s">
        <v>122</v>
      </c>
      <c r="C7">
        <v>1</v>
      </c>
      <c r="H7">
        <v>16</v>
      </c>
      <c r="J7">
        <v>19</v>
      </c>
      <c r="M7">
        <v>24</v>
      </c>
      <c r="O7" t="s">
        <v>7</v>
      </c>
      <c r="R7">
        <v>25</v>
      </c>
      <c r="T7" t="s">
        <v>122</v>
      </c>
      <c r="U7">
        <v>28</v>
      </c>
      <c r="Z7">
        <v>43</v>
      </c>
      <c r="AB7">
        <v>46</v>
      </c>
      <c r="AE7">
        <v>51</v>
      </c>
      <c r="AG7" t="s">
        <v>7</v>
      </c>
      <c r="AJ7">
        <v>52</v>
      </c>
      <c r="AL7" t="s">
        <v>122</v>
      </c>
      <c r="AM7">
        <v>55</v>
      </c>
      <c r="AR7">
        <v>70</v>
      </c>
      <c r="AT7">
        <v>73</v>
      </c>
      <c r="AW7">
        <v>78</v>
      </c>
      <c r="AY7" t="s">
        <v>7</v>
      </c>
      <c r="BB7">
        <v>79</v>
      </c>
      <c r="BJ7" s="26" t="s">
        <v>428</v>
      </c>
      <c r="BL7"/>
      <c r="BM7"/>
      <c r="BN7"/>
      <c r="BV7"/>
    </row>
    <row r="8" spans="1:106" ht="14.4" customHeight="1">
      <c r="A8">
        <v>1</v>
      </c>
      <c r="B8" s="30" t="str">
        <f>SUBSTITUTE(PROPER(C8)," ","")</f>
        <v>PsVccint1V0</v>
      </c>
      <c r="C8" s="121" t="s">
        <v>16</v>
      </c>
      <c r="D8" s="121"/>
      <c r="E8" s="121"/>
      <c r="F8" s="121"/>
      <c r="G8" s="121"/>
      <c r="H8" s="121"/>
      <c r="I8" s="31"/>
      <c r="J8" s="108">
        <v>0</v>
      </c>
      <c r="K8" s="109"/>
      <c r="L8" s="109"/>
      <c r="M8" s="110"/>
      <c r="N8" s="31"/>
      <c r="O8" s="52">
        <v>1</v>
      </c>
      <c r="P8" s="53"/>
      <c r="Q8" s="31"/>
      <c r="R8" s="90" t="s">
        <v>14</v>
      </c>
      <c r="S8" s="95"/>
      <c r="T8" s="31" t="str">
        <f t="shared" ref="T8:T31" si="0">SUBSTITUTE(PROPER(U8)," ","")</f>
        <v>CpSw2V5</v>
      </c>
      <c r="U8" s="121" t="s">
        <v>54</v>
      </c>
      <c r="V8" s="121"/>
      <c r="W8" s="121"/>
      <c r="X8" s="121"/>
      <c r="Y8" s="121"/>
      <c r="Z8" s="121"/>
      <c r="AA8" s="31"/>
      <c r="AB8" s="108">
        <v>0</v>
      </c>
      <c r="AC8" s="109"/>
      <c r="AD8" s="109"/>
      <c r="AE8" s="110"/>
      <c r="AF8" s="31"/>
      <c r="AG8" s="52">
        <v>0</v>
      </c>
      <c r="AH8" s="53"/>
      <c r="AI8" s="31"/>
      <c r="AJ8" s="7" t="s">
        <v>14</v>
      </c>
      <c r="AK8" s="31"/>
      <c r="AL8" s="7" t="str">
        <f>SUBSTITUTE(PROPER(AM8)," ","")</f>
        <v>PolMgt1V0_V</v>
      </c>
      <c r="AM8" s="126" t="s">
        <v>264</v>
      </c>
      <c r="AN8" s="126"/>
      <c r="AO8" s="126"/>
      <c r="AP8" s="126"/>
      <c r="AQ8" s="126"/>
      <c r="AR8" s="126"/>
      <c r="AS8" s="31"/>
      <c r="AT8" s="108">
        <v>0</v>
      </c>
      <c r="AU8" s="109"/>
      <c r="AV8" s="109"/>
      <c r="AW8" s="110"/>
      <c r="AX8" s="31"/>
      <c r="AY8" s="52">
        <v>1</v>
      </c>
      <c r="AZ8" s="53"/>
      <c r="BA8" s="31"/>
      <c r="BB8" s="7" t="s">
        <v>14</v>
      </c>
      <c r="BC8" s="32"/>
      <c r="BD8" s="32">
        <f>LEN(C14)</f>
        <v>12</v>
      </c>
      <c r="BE8" s="32">
        <f t="shared" ref="BE8:BE31" si="1">LEN(U9)</f>
        <v>7</v>
      </c>
      <c r="BF8" s="58">
        <f>LEN(AM8)</f>
        <v>13</v>
      </c>
      <c r="BJ8" s="67" t="str">
        <f>("{"&amp;B8&amp;", "&amp;""""&amp;C8&amp;""""&amp;", "&amp;A8&amp;", "&amp;$C$7&amp;", "&amp;0&amp;", "&amp;O8&amp;", "&amp;A8&amp;", "&amp;$J$7&amp;","&amp;""""&amp;R8&amp;""""&amp;"},")</f>
        <v>{PsVccint1V0, "PS Vccint 1V0", 1, 1, 0, 1, 1, 19,"V"},</v>
      </c>
      <c r="BK8" s="32"/>
      <c r="BL8" s="31"/>
      <c r="BM8" s="31"/>
      <c r="BN8" s="32"/>
      <c r="BO8" s="32"/>
      <c r="BP8" s="32"/>
      <c r="BQ8" s="32"/>
      <c r="BR8" s="32"/>
      <c r="BS8" s="32"/>
      <c r="BT8" s="32"/>
      <c r="BU8" s="32"/>
      <c r="BV8" s="32"/>
      <c r="BW8" s="31"/>
      <c r="BX8" s="31"/>
      <c r="BY8" s="31"/>
      <c r="BZ8" s="32"/>
      <c r="CA8" s="31"/>
      <c r="CB8" s="32" t="str">
        <f t="shared" ref="CB8:CB31" si="2">("{"&amp;T8&amp;", "&amp;""""&amp;U8&amp;""""&amp;", "&amp;A8&amp;", "&amp;$U$7&amp;", "&amp;0&amp;", "&amp;AG8&amp;", "&amp;A8&amp;", "&amp;$AB$7&amp;","&amp;""""&amp;AJ8&amp;""""&amp;"},")</f>
        <v>{CpSw2V5, "CP SW 2V5", 1, 28, 0, 0, 1, 46,"V"},</v>
      </c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2" t="str">
        <f t="shared" ref="CP8:CP31" si="3">("{"&amp;AL8&amp;", "&amp;""""&amp;AM8&amp;""""&amp;", "&amp;A8&amp;", "&amp;$AM$7&amp;", "&amp;0&amp;", "&amp;AY8&amp;", "&amp;A8&amp;", "&amp;$AT$7&amp;","&amp;""""&amp;BB8&amp;""""&amp;"},")</f>
        <v>{PolMgt1V0_V, "POL MGT 1V0_V", 1, 55, 0, 1, 1, 73,"V"},</v>
      </c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3"/>
    </row>
    <row r="9" spans="1:106">
      <c r="A9">
        <v>2</v>
      </c>
      <c r="B9" s="34" t="str">
        <f t="shared" ref="B9:B30" si="4">SUBSTITUTE(PROPER(C9)," ","")</f>
        <v>PsVintMin1V0</v>
      </c>
      <c r="C9" s="111" t="s">
        <v>42</v>
      </c>
      <c r="D9" s="111"/>
      <c r="E9" s="111"/>
      <c r="F9" s="111"/>
      <c r="G9" s="111"/>
      <c r="H9" s="111"/>
      <c r="I9" s="23"/>
      <c r="J9" s="105">
        <v>0</v>
      </c>
      <c r="K9" s="106"/>
      <c r="L9" s="106"/>
      <c r="M9" s="107"/>
      <c r="N9" s="23"/>
      <c r="O9" s="16">
        <v>1</v>
      </c>
      <c r="P9" s="22"/>
      <c r="Q9" s="23"/>
      <c r="R9" s="91" t="s">
        <v>14</v>
      </c>
      <c r="S9" s="93"/>
      <c r="T9" s="23" t="str">
        <f t="shared" si="0"/>
        <v>Brd3V3</v>
      </c>
      <c r="U9" s="111" t="s">
        <v>30</v>
      </c>
      <c r="V9" s="111"/>
      <c r="W9" s="111"/>
      <c r="X9" s="111"/>
      <c r="Y9" s="111"/>
      <c r="Z9" s="111"/>
      <c r="AA9" s="23"/>
      <c r="AB9" s="105">
        <v>0</v>
      </c>
      <c r="AC9" s="106"/>
      <c r="AD9" s="106"/>
      <c r="AE9" s="107"/>
      <c r="AF9" s="23"/>
      <c r="AG9" s="16">
        <v>0</v>
      </c>
      <c r="AH9" s="22"/>
      <c r="AI9" s="23"/>
      <c r="AJ9" s="1" t="s">
        <v>14</v>
      </c>
      <c r="AK9" s="23"/>
      <c r="AL9" s="1" t="str">
        <f t="shared" ref="AL9:AL31" si="5">SUBSTITUTE(PROPER(AM9)," ","")</f>
        <v>PolMgt1V0_I</v>
      </c>
      <c r="AM9" s="130" t="s">
        <v>259</v>
      </c>
      <c r="AN9" s="130"/>
      <c r="AO9" s="130"/>
      <c r="AP9" s="130"/>
      <c r="AQ9" s="130"/>
      <c r="AR9" s="130"/>
      <c r="AS9" s="23"/>
      <c r="AT9" s="105">
        <v>0</v>
      </c>
      <c r="AU9" s="106"/>
      <c r="AV9" s="106"/>
      <c r="AW9" s="107"/>
      <c r="AX9" s="23"/>
      <c r="AY9" s="16">
        <v>0</v>
      </c>
      <c r="AZ9" s="22"/>
      <c r="BA9" s="23"/>
      <c r="BB9" s="1" t="s">
        <v>0</v>
      </c>
      <c r="BC9" s="35"/>
      <c r="BD9" s="35">
        <f>LEN(C15)</f>
        <v>16</v>
      </c>
      <c r="BE9" s="35">
        <f t="shared" si="1"/>
        <v>10</v>
      </c>
      <c r="BF9" s="59">
        <f t="shared" ref="BF9:BF31" si="6">LEN(AM9)</f>
        <v>13</v>
      </c>
      <c r="BJ9" s="68" t="str">
        <f t="shared" ref="BJ9:BJ55" si="7">("{"&amp;B9&amp;", "&amp;""""&amp;C9&amp;""""&amp;", "&amp;A9&amp;", "&amp;$C$7&amp;", "&amp;0&amp;", "&amp;O9&amp;", "&amp;A9&amp;", "&amp;$J$7&amp;","&amp;""""&amp;R9&amp;""""&amp;"},")</f>
        <v>{PsVintMin1V0, "PS Vint min 1V0", 2, 1, 0, 1, 2, 19,"V"},</v>
      </c>
      <c r="BK9" s="35"/>
      <c r="BL9" s="23"/>
      <c r="BM9" s="23"/>
      <c r="BN9" s="35"/>
      <c r="BO9" s="35"/>
      <c r="BP9" s="35"/>
      <c r="BQ9" s="35"/>
      <c r="BR9" s="35"/>
      <c r="BS9" s="35"/>
      <c r="BT9" s="35"/>
      <c r="BU9" s="35"/>
      <c r="BV9" s="35"/>
      <c r="BW9" s="23"/>
      <c r="BX9" s="23"/>
      <c r="BY9" s="23"/>
      <c r="BZ9" s="35"/>
      <c r="CA9" s="23"/>
      <c r="CB9" s="35" t="str">
        <f t="shared" si="2"/>
        <v>{Brd3V3, "Brd 3V3", 2, 28, 0, 0, 2, 46,"V"},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35" t="str">
        <f t="shared" si="3"/>
        <v>{PolMgt1V0_I, "POL MGT 1V0_I", 2, 55, 0, 0, 2, 73,"A"},</v>
      </c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36"/>
    </row>
    <row r="10" spans="1:106">
      <c r="A10">
        <v>3</v>
      </c>
      <c r="B10" s="34" t="str">
        <f t="shared" si="4"/>
        <v>PsVintMax1V0</v>
      </c>
      <c r="C10" s="111" t="s">
        <v>43</v>
      </c>
      <c r="D10" s="111"/>
      <c r="E10" s="111"/>
      <c r="F10" s="111"/>
      <c r="G10" s="111"/>
      <c r="H10" s="111"/>
      <c r="I10" s="23"/>
      <c r="J10" s="105">
        <v>0</v>
      </c>
      <c r="K10" s="106"/>
      <c r="L10" s="106"/>
      <c r="M10" s="107"/>
      <c r="N10" s="23"/>
      <c r="O10" s="16">
        <v>1</v>
      </c>
      <c r="P10" s="22"/>
      <c r="Q10" s="23"/>
      <c r="R10" s="91" t="s">
        <v>14</v>
      </c>
      <c r="S10" s="93"/>
      <c r="T10" s="23" t="str">
        <f t="shared" si="0"/>
        <v>Pol3V3_V</v>
      </c>
      <c r="U10" s="111" t="s">
        <v>255</v>
      </c>
      <c r="V10" s="111"/>
      <c r="W10" s="111"/>
      <c r="X10" s="111"/>
      <c r="Y10" s="111"/>
      <c r="Z10" s="111"/>
      <c r="AA10" s="23"/>
      <c r="AB10" s="105">
        <v>0</v>
      </c>
      <c r="AC10" s="106"/>
      <c r="AD10" s="106"/>
      <c r="AE10" s="107"/>
      <c r="AF10" s="23"/>
      <c r="AG10" s="16">
        <v>0</v>
      </c>
      <c r="AH10" s="22"/>
      <c r="AI10" s="23"/>
      <c r="AJ10" s="1" t="s">
        <v>14</v>
      </c>
      <c r="AK10" s="23"/>
      <c r="AL10" s="1" t="str">
        <f t="shared" si="5"/>
        <v>CjMgt1V2</v>
      </c>
      <c r="AM10" s="130" t="s">
        <v>49</v>
      </c>
      <c r="AN10" s="130"/>
      <c r="AO10" s="130"/>
      <c r="AP10" s="130"/>
      <c r="AQ10" s="130"/>
      <c r="AR10" s="130"/>
      <c r="AS10" s="23"/>
      <c r="AT10" s="105">
        <v>0</v>
      </c>
      <c r="AU10" s="106"/>
      <c r="AV10" s="106"/>
      <c r="AW10" s="107"/>
      <c r="AX10" s="23"/>
      <c r="AY10" s="16">
        <v>0</v>
      </c>
      <c r="AZ10" s="22"/>
      <c r="BA10" s="23"/>
      <c r="BB10" s="1" t="s">
        <v>14</v>
      </c>
      <c r="BC10" s="35"/>
      <c r="BD10" s="35">
        <f>LEN(C16)</f>
        <v>16</v>
      </c>
      <c r="BE10" s="35">
        <f t="shared" si="1"/>
        <v>10</v>
      </c>
      <c r="BF10" s="59">
        <f t="shared" si="6"/>
        <v>10</v>
      </c>
      <c r="BJ10" s="68" t="str">
        <f t="shared" si="7"/>
        <v>{PsVintMax1V0, "PS Vint max 1V0", 3, 1, 0, 1, 3, 19,"V"},</v>
      </c>
      <c r="BK10" s="35"/>
      <c r="BL10" s="23"/>
      <c r="BM10" s="23"/>
      <c r="BN10" s="35"/>
      <c r="BO10" s="35"/>
      <c r="BP10" s="35"/>
      <c r="BQ10" s="35"/>
      <c r="BR10" s="35"/>
      <c r="BS10" s="35"/>
      <c r="BT10" s="35"/>
      <c r="BU10" s="35"/>
      <c r="BV10" s="35"/>
      <c r="BW10" s="23"/>
      <c r="BX10" s="23"/>
      <c r="BY10" s="23"/>
      <c r="BZ10" s="35"/>
      <c r="CA10" s="23"/>
      <c r="CB10" s="35" t="str">
        <f t="shared" si="2"/>
        <v>{Pol3V3_V, "POL 3V3_ V", 3, 28, 0, 0, 3, 46,"V"},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35" t="str">
        <f t="shared" si="3"/>
        <v>{CjMgt1V2, "CJ MGT 1V2", 3, 55, 0, 0, 3, 73,"V"},</v>
      </c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36"/>
    </row>
    <row r="11" spans="1:106">
      <c r="A11">
        <v>4</v>
      </c>
      <c r="B11" s="34" t="str">
        <f t="shared" si="4"/>
        <v>PsVccaux1V8</v>
      </c>
      <c r="C11" s="111" t="s">
        <v>18</v>
      </c>
      <c r="D11" s="111"/>
      <c r="E11" s="111"/>
      <c r="F11" s="111"/>
      <c r="G11" s="111"/>
      <c r="H11" s="111"/>
      <c r="I11" s="23"/>
      <c r="J11" s="105">
        <v>0</v>
      </c>
      <c r="K11" s="106"/>
      <c r="L11" s="106"/>
      <c r="M11" s="107"/>
      <c r="N11" s="23"/>
      <c r="O11" s="16">
        <v>1</v>
      </c>
      <c r="P11" s="22"/>
      <c r="Q11" s="23"/>
      <c r="R11" s="91" t="s">
        <v>14</v>
      </c>
      <c r="S11" s="93"/>
      <c r="T11" s="23" t="str">
        <f t="shared" si="0"/>
        <v>Pol3V3_I</v>
      </c>
      <c r="U11" s="111" t="s">
        <v>256</v>
      </c>
      <c r="V11" s="111"/>
      <c r="W11" s="111"/>
      <c r="X11" s="111"/>
      <c r="Y11" s="111"/>
      <c r="Z11" s="111"/>
      <c r="AA11" s="23"/>
      <c r="AB11" s="105">
        <v>0</v>
      </c>
      <c r="AC11" s="106"/>
      <c r="AD11" s="106"/>
      <c r="AE11" s="107"/>
      <c r="AF11" s="23"/>
      <c r="AG11" s="16">
        <v>0</v>
      </c>
      <c r="AH11" s="22"/>
      <c r="AI11" s="23"/>
      <c r="AJ11" s="1" t="s">
        <v>0</v>
      </c>
      <c r="AK11" s="23"/>
      <c r="AL11" s="1" t="str">
        <f t="shared" si="5"/>
        <v>PolMgt1V2_V</v>
      </c>
      <c r="AM11" s="130" t="s">
        <v>260</v>
      </c>
      <c r="AN11" s="130"/>
      <c r="AO11" s="130"/>
      <c r="AP11" s="130"/>
      <c r="AQ11" s="130"/>
      <c r="AR11" s="130"/>
      <c r="AS11" s="23"/>
      <c r="AT11" s="105">
        <v>0</v>
      </c>
      <c r="AU11" s="106"/>
      <c r="AV11" s="106"/>
      <c r="AW11" s="107"/>
      <c r="AX11" s="23"/>
      <c r="AY11" s="16">
        <v>0</v>
      </c>
      <c r="AZ11" s="22"/>
      <c r="BA11" s="23"/>
      <c r="BB11" s="1" t="s">
        <v>14</v>
      </c>
      <c r="BC11" s="35"/>
      <c r="BD11" s="35">
        <f t="shared" ref="BD11:BD16" si="8">LEN(C8)</f>
        <v>13</v>
      </c>
      <c r="BE11" s="35">
        <f t="shared" si="1"/>
        <v>9</v>
      </c>
      <c r="BF11" s="59">
        <f t="shared" si="6"/>
        <v>14</v>
      </c>
      <c r="BJ11" s="68" t="str">
        <f t="shared" si="7"/>
        <v>{PsVccaux1V8, "PS Vccaux 1V8", 4, 1, 0, 1, 4, 19,"V"},</v>
      </c>
      <c r="BK11" s="35"/>
      <c r="BL11" s="23"/>
      <c r="BM11" s="23"/>
      <c r="BN11" s="35"/>
      <c r="BO11" s="35"/>
      <c r="BP11" s="35"/>
      <c r="BQ11" s="35"/>
      <c r="BR11" s="35"/>
      <c r="BS11" s="35"/>
      <c r="BT11" s="35"/>
      <c r="BU11" s="35"/>
      <c r="BV11" s="35"/>
      <c r="BW11" s="23"/>
      <c r="BX11" s="23"/>
      <c r="BY11" s="23"/>
      <c r="BZ11" s="35"/>
      <c r="CA11" s="23"/>
      <c r="CB11" s="35" t="str">
        <f t="shared" si="2"/>
        <v>{Pol3V3_I, "POL 3V3_ I", 4, 28, 0, 0, 4, 46,"A"},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35" t="str">
        <f t="shared" si="3"/>
        <v>{PolMgt1V2_V, "POL MGT 1V2_V ", 4, 55, 0, 0, 4, 73,"V"},</v>
      </c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36"/>
    </row>
    <row r="12" spans="1:106">
      <c r="A12">
        <v>5</v>
      </c>
      <c r="B12" s="34" t="str">
        <f t="shared" si="4"/>
        <v>PsVauxMin1V8</v>
      </c>
      <c r="C12" s="111" t="s">
        <v>44</v>
      </c>
      <c r="D12" s="111"/>
      <c r="E12" s="111"/>
      <c r="F12" s="111"/>
      <c r="G12" s="111"/>
      <c r="H12" s="111"/>
      <c r="I12" s="23"/>
      <c r="J12" s="105">
        <v>0</v>
      </c>
      <c r="K12" s="106"/>
      <c r="L12" s="106"/>
      <c r="M12" s="107"/>
      <c r="N12" s="23"/>
      <c r="O12" s="16">
        <v>1</v>
      </c>
      <c r="P12" s="22"/>
      <c r="Q12" s="23"/>
      <c r="R12" s="91" t="s">
        <v>14</v>
      </c>
      <c r="S12" s="93"/>
      <c r="T12" s="23" t="str">
        <f t="shared" si="0"/>
        <v>CpSw3V3</v>
      </c>
      <c r="U12" s="111" t="s">
        <v>53</v>
      </c>
      <c r="V12" s="111"/>
      <c r="W12" s="111"/>
      <c r="X12" s="111"/>
      <c r="Y12" s="111"/>
      <c r="Z12" s="111"/>
      <c r="AA12" s="23"/>
      <c r="AB12" s="105">
        <v>0</v>
      </c>
      <c r="AC12" s="106"/>
      <c r="AD12" s="106"/>
      <c r="AE12" s="107"/>
      <c r="AF12" s="23"/>
      <c r="AG12" s="16">
        <v>0</v>
      </c>
      <c r="AH12" s="22"/>
      <c r="AI12" s="23"/>
      <c r="AJ12" s="1" t="s">
        <v>14</v>
      </c>
      <c r="AK12" s="23"/>
      <c r="AL12" s="1" t="str">
        <f t="shared" si="5"/>
        <v>PolMgt1V2_I</v>
      </c>
      <c r="AM12" s="130" t="s">
        <v>261</v>
      </c>
      <c r="AN12" s="130"/>
      <c r="AO12" s="130"/>
      <c r="AP12" s="130"/>
      <c r="AQ12" s="130"/>
      <c r="AR12" s="130"/>
      <c r="AS12" s="23"/>
      <c r="AT12" s="105">
        <v>0</v>
      </c>
      <c r="AU12" s="106"/>
      <c r="AV12" s="106"/>
      <c r="AW12" s="107"/>
      <c r="AX12" s="23"/>
      <c r="AY12" s="16">
        <v>0</v>
      </c>
      <c r="AZ12" s="22"/>
      <c r="BA12" s="23"/>
      <c r="BB12" s="1" t="s">
        <v>0</v>
      </c>
      <c r="BC12" s="35"/>
      <c r="BD12" s="35">
        <f t="shared" si="8"/>
        <v>15</v>
      </c>
      <c r="BE12" s="35">
        <f t="shared" si="1"/>
        <v>9</v>
      </c>
      <c r="BF12" s="59">
        <f t="shared" si="6"/>
        <v>13</v>
      </c>
      <c r="BJ12" s="68" t="str">
        <f t="shared" si="7"/>
        <v>{PsVauxMin1V8, "PS Vaux min 1V8", 5, 1, 0, 1, 5, 19,"V"},</v>
      </c>
      <c r="BK12" s="35"/>
      <c r="BL12" s="23"/>
      <c r="BM12" s="23"/>
      <c r="BN12" s="35"/>
      <c r="BO12" s="35"/>
      <c r="BP12" s="35"/>
      <c r="BQ12" s="35"/>
      <c r="BR12" s="35"/>
      <c r="BS12" s="35"/>
      <c r="BT12" s="35"/>
      <c r="BU12" s="35"/>
      <c r="BV12" s="35"/>
      <c r="BW12" s="23"/>
      <c r="BX12" s="23"/>
      <c r="BY12" s="23"/>
      <c r="BZ12" s="35"/>
      <c r="CA12" s="23"/>
      <c r="CB12" s="35" t="str">
        <f t="shared" si="2"/>
        <v>{CpSw3V3, "CP SW 3V3", 5, 28, 0, 0, 5, 46,"V"},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35" t="str">
        <f t="shared" si="3"/>
        <v>{PolMgt1V2_I, "POL MGT 1V2_I", 5, 55, 0, 0, 5, 73,"A"},</v>
      </c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36"/>
    </row>
    <row r="13" spans="1:106">
      <c r="A13">
        <v>6</v>
      </c>
      <c r="B13" s="34" t="str">
        <f t="shared" si="4"/>
        <v>PsVauxMax1V8</v>
      </c>
      <c r="C13" s="111" t="s">
        <v>45</v>
      </c>
      <c r="D13" s="111"/>
      <c r="E13" s="111"/>
      <c r="F13" s="111"/>
      <c r="G13" s="111"/>
      <c r="H13" s="111"/>
      <c r="I13" s="23"/>
      <c r="J13" s="105">
        <v>0</v>
      </c>
      <c r="K13" s="106"/>
      <c r="L13" s="106"/>
      <c r="M13" s="107"/>
      <c r="N13" s="23"/>
      <c r="O13" s="16">
        <v>1</v>
      </c>
      <c r="P13" s="22"/>
      <c r="Q13" s="23"/>
      <c r="R13" s="91" t="s">
        <v>14</v>
      </c>
      <c r="S13" s="93"/>
      <c r="T13" s="23" t="str">
        <f t="shared" si="0"/>
        <v>CjSw3V3</v>
      </c>
      <c r="U13" s="111" t="s">
        <v>39</v>
      </c>
      <c r="V13" s="111"/>
      <c r="W13" s="111"/>
      <c r="X13" s="111"/>
      <c r="Y13" s="111"/>
      <c r="Z13" s="111"/>
      <c r="AA13" s="23"/>
      <c r="AB13" s="105">
        <v>0</v>
      </c>
      <c r="AC13" s="106"/>
      <c r="AD13" s="106"/>
      <c r="AE13" s="107"/>
      <c r="AF13" s="23"/>
      <c r="AG13" s="16">
        <v>0</v>
      </c>
      <c r="AH13" s="22"/>
      <c r="AI13" s="23"/>
      <c r="AJ13" s="1" t="s">
        <v>14</v>
      </c>
      <c r="AK13" s="23"/>
      <c r="AL13" s="1" t="str">
        <f t="shared" si="5"/>
        <v>CjMgt1V8</v>
      </c>
      <c r="AM13" s="130" t="s">
        <v>48</v>
      </c>
      <c r="AN13" s="130"/>
      <c r="AO13" s="130"/>
      <c r="AP13" s="130"/>
      <c r="AQ13" s="130"/>
      <c r="AR13" s="130"/>
      <c r="AS13" s="23"/>
      <c r="AT13" s="105">
        <v>0</v>
      </c>
      <c r="AU13" s="106"/>
      <c r="AV13" s="106"/>
      <c r="AW13" s="107"/>
      <c r="AX13" s="23"/>
      <c r="AY13" s="16">
        <v>0</v>
      </c>
      <c r="AZ13" s="22"/>
      <c r="BA13" s="23"/>
      <c r="BB13" s="1" t="s">
        <v>14</v>
      </c>
      <c r="BC13" s="35"/>
      <c r="BD13" s="35">
        <f t="shared" si="8"/>
        <v>15</v>
      </c>
      <c r="BE13" s="35">
        <f t="shared" si="1"/>
        <v>6</v>
      </c>
      <c r="BF13" s="59">
        <f t="shared" si="6"/>
        <v>10</v>
      </c>
      <c r="BJ13" s="68" t="str">
        <f t="shared" si="7"/>
        <v>{PsVauxMax1V8, "PS Vaux max 1V8", 6, 1, 0, 1, 6, 19,"V"},</v>
      </c>
      <c r="BK13" s="35"/>
      <c r="BL13" s="23"/>
      <c r="BM13" s="23"/>
      <c r="BN13" s="35"/>
      <c r="BO13" s="35"/>
      <c r="BP13" s="35"/>
      <c r="BQ13" s="35"/>
      <c r="BR13" s="35"/>
      <c r="BS13" s="35"/>
      <c r="BT13" s="35"/>
      <c r="BU13" s="35"/>
      <c r="BV13" s="35"/>
      <c r="BW13" s="23"/>
      <c r="BX13" s="23"/>
      <c r="BY13" s="23"/>
      <c r="BZ13" s="35"/>
      <c r="CA13" s="23"/>
      <c r="CB13" s="35" t="str">
        <f t="shared" si="2"/>
        <v>{CjSw3V3, "CJ SW 3V3", 6, 28, 0, 0, 6, 46,"V"},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35" t="str">
        <f t="shared" si="3"/>
        <v>{CjMgt1V8, "CJ MGT 1V8", 6, 55, 0, 0, 6, 73,"V"},</v>
      </c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36"/>
    </row>
    <row r="14" spans="1:106">
      <c r="A14">
        <v>7</v>
      </c>
      <c r="B14" s="34" t="str">
        <f t="shared" si="4"/>
        <v>PlVbram1V0</v>
      </c>
      <c r="C14" s="111" t="s">
        <v>17</v>
      </c>
      <c r="D14" s="111"/>
      <c r="E14" s="111"/>
      <c r="F14" s="111"/>
      <c r="G14" s="111"/>
      <c r="H14" s="111"/>
      <c r="I14" s="23"/>
      <c r="J14" s="105">
        <v>0</v>
      </c>
      <c r="K14" s="106"/>
      <c r="L14" s="106"/>
      <c r="M14" s="107"/>
      <c r="N14" s="23"/>
      <c r="O14" s="16">
        <v>1</v>
      </c>
      <c r="P14" s="22"/>
      <c r="Q14" s="23"/>
      <c r="R14" s="91" t="s">
        <v>14</v>
      </c>
      <c r="S14" s="93"/>
      <c r="T14" s="23" t="str">
        <f t="shared" si="0"/>
        <v>Cu3V3</v>
      </c>
      <c r="U14" s="111" t="s">
        <v>51</v>
      </c>
      <c r="V14" s="111"/>
      <c r="W14" s="111"/>
      <c r="X14" s="111"/>
      <c r="Y14" s="111"/>
      <c r="Z14" s="111"/>
      <c r="AA14" s="23"/>
      <c r="AB14" s="105">
        <v>0</v>
      </c>
      <c r="AC14" s="106"/>
      <c r="AD14" s="106"/>
      <c r="AE14" s="107"/>
      <c r="AF14" s="23"/>
      <c r="AG14" s="16">
        <v>0</v>
      </c>
      <c r="AH14" s="22"/>
      <c r="AI14" s="23"/>
      <c r="AJ14" s="1" t="s">
        <v>14</v>
      </c>
      <c r="AK14" s="23"/>
      <c r="AL14" s="1" t="s">
        <v>127</v>
      </c>
      <c r="AM14" s="130" t="s">
        <v>313</v>
      </c>
      <c r="AN14" s="130"/>
      <c r="AO14" s="130"/>
      <c r="AP14" s="130"/>
      <c r="AQ14" s="130"/>
      <c r="AR14" s="130"/>
      <c r="AS14" s="23"/>
      <c r="AT14" s="105">
        <v>0</v>
      </c>
      <c r="AU14" s="106"/>
      <c r="AV14" s="106"/>
      <c r="AW14" s="107"/>
      <c r="AX14" s="23"/>
      <c r="AY14" s="16">
        <v>4</v>
      </c>
      <c r="AZ14" s="22"/>
      <c r="BA14" s="23"/>
      <c r="BB14" s="1" t="s">
        <v>314</v>
      </c>
      <c r="BC14" s="35"/>
      <c r="BD14" s="35">
        <f t="shared" si="8"/>
        <v>13</v>
      </c>
      <c r="BE14" s="35">
        <f t="shared" si="1"/>
        <v>7</v>
      </c>
      <c r="BF14" s="59">
        <f t="shared" si="6"/>
        <v>15</v>
      </c>
      <c r="BJ14" s="68" t="str">
        <f t="shared" si="7"/>
        <v>{PlVbram1V0, "PL Vbram 1V0", 7, 1, 0, 1, 7, 19,"V"},</v>
      </c>
      <c r="BK14" s="35"/>
      <c r="BL14" s="23"/>
      <c r="BM14" s="23"/>
      <c r="BN14" s="35"/>
      <c r="BO14" s="35"/>
      <c r="BP14" s="35"/>
      <c r="BQ14" s="35"/>
      <c r="BR14" s="35"/>
      <c r="BS14" s="35"/>
      <c r="BT14" s="35"/>
      <c r="BU14" s="35"/>
      <c r="BV14" s="35"/>
      <c r="BW14" s="23"/>
      <c r="BX14" s="23"/>
      <c r="BY14" s="23"/>
      <c r="BZ14" s="35"/>
      <c r="CA14" s="23"/>
      <c r="CB14" s="35" t="str">
        <f t="shared" si="2"/>
        <v>{Cu3V3, "CU 3V3", 7, 28, 0, 0, 7, 46,"V"},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35" t="str">
        <f t="shared" si="3"/>
        <v>{Blank54, "XXXXXXXXXXXXXXX", 7, 55, 0, 4, 7, 73,"X"},</v>
      </c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36"/>
    </row>
    <row r="15" spans="1:106" ht="15" thickBot="1">
      <c r="A15">
        <v>8</v>
      </c>
      <c r="B15" s="54" t="str">
        <f t="shared" si="4"/>
        <v>PlVbramMin1V0</v>
      </c>
      <c r="C15" s="118" t="s">
        <v>40</v>
      </c>
      <c r="D15" s="118"/>
      <c r="E15" s="118"/>
      <c r="F15" s="118"/>
      <c r="G15" s="118"/>
      <c r="H15" s="118"/>
      <c r="I15" s="37"/>
      <c r="J15" s="131">
        <v>0</v>
      </c>
      <c r="K15" s="132"/>
      <c r="L15" s="132"/>
      <c r="M15" s="133"/>
      <c r="N15" s="37"/>
      <c r="O15" s="86">
        <v>1</v>
      </c>
      <c r="P15" s="55"/>
      <c r="Q15" s="37"/>
      <c r="R15" s="92" t="s">
        <v>14</v>
      </c>
      <c r="S15" s="94"/>
      <c r="T15" s="37" t="str">
        <f t="shared" si="0"/>
        <v>Brd5V0</v>
      </c>
      <c r="U15" s="118" t="s">
        <v>21</v>
      </c>
      <c r="V15" s="118"/>
      <c r="W15" s="118"/>
      <c r="X15" s="118"/>
      <c r="Y15" s="118"/>
      <c r="Z15" s="118"/>
      <c r="AA15" s="37"/>
      <c r="AB15" s="131">
        <v>0</v>
      </c>
      <c r="AC15" s="132"/>
      <c r="AD15" s="132"/>
      <c r="AE15" s="133"/>
      <c r="AF15" s="37"/>
      <c r="AG15" s="86">
        <v>0</v>
      </c>
      <c r="AH15" s="55"/>
      <c r="AI15" s="37"/>
      <c r="AJ15" s="12" t="s">
        <v>14</v>
      </c>
      <c r="AK15" s="37"/>
      <c r="AL15" s="12" t="s">
        <v>128</v>
      </c>
      <c r="AM15" s="134" t="s">
        <v>313</v>
      </c>
      <c r="AN15" s="134"/>
      <c r="AO15" s="134"/>
      <c r="AP15" s="134"/>
      <c r="AQ15" s="134"/>
      <c r="AR15" s="134"/>
      <c r="AS15" s="37"/>
      <c r="AT15" s="131">
        <v>0</v>
      </c>
      <c r="AU15" s="132"/>
      <c r="AV15" s="132"/>
      <c r="AW15" s="133"/>
      <c r="AX15" s="37"/>
      <c r="AY15" s="86">
        <v>4</v>
      </c>
      <c r="AZ15" s="55"/>
      <c r="BA15" s="37"/>
      <c r="BB15" s="12" t="s">
        <v>314</v>
      </c>
      <c r="BC15" s="38"/>
      <c r="BD15" s="38">
        <f t="shared" si="8"/>
        <v>15</v>
      </c>
      <c r="BE15" s="38">
        <f t="shared" si="1"/>
        <v>8</v>
      </c>
      <c r="BF15" s="61">
        <f t="shared" si="6"/>
        <v>15</v>
      </c>
      <c r="BJ15" s="68" t="str">
        <f t="shared" si="7"/>
        <v>{PlVbramMin1V0, "PL Vbram min 1V0", 8, 1, 0, 1, 8, 19,"V"},</v>
      </c>
      <c r="BK15" s="35"/>
      <c r="BL15" s="23"/>
      <c r="BM15" s="23"/>
      <c r="BN15" s="35"/>
      <c r="BO15" s="35"/>
      <c r="BP15" s="35"/>
      <c r="BQ15" s="35"/>
      <c r="BR15" s="35"/>
      <c r="BS15" s="35"/>
      <c r="BT15" s="35"/>
      <c r="BU15" s="35"/>
      <c r="BV15" s="35"/>
      <c r="BW15" s="23"/>
      <c r="BX15" s="23"/>
      <c r="BY15" s="23"/>
      <c r="BZ15" s="35"/>
      <c r="CA15" s="23"/>
      <c r="CB15" s="35" t="str">
        <f t="shared" si="2"/>
        <v>{Brd5V0, "Brd 5V0", 8, 28, 0, 0, 8, 46,"V"},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35" t="str">
        <f t="shared" si="3"/>
        <v>{Blank55, "XXXXXXXXXXXXXXX", 8, 55, 0, 4, 8, 73,"X"},</v>
      </c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36"/>
    </row>
    <row r="16" spans="1:106">
      <c r="A16">
        <v>9</v>
      </c>
      <c r="B16" s="30" t="str">
        <f t="shared" si="4"/>
        <v>PlVbramMax1V0</v>
      </c>
      <c r="C16" s="121" t="s">
        <v>41</v>
      </c>
      <c r="D16" s="121"/>
      <c r="E16" s="121"/>
      <c r="F16" s="121"/>
      <c r="G16" s="121"/>
      <c r="H16" s="121"/>
      <c r="I16" s="31"/>
      <c r="J16" s="108">
        <v>0</v>
      </c>
      <c r="K16" s="109"/>
      <c r="L16" s="109"/>
      <c r="M16" s="110"/>
      <c r="N16" s="31"/>
      <c r="O16" s="52">
        <v>1</v>
      </c>
      <c r="P16" s="53"/>
      <c r="Q16" s="31"/>
      <c r="R16" s="90" t="s">
        <v>14</v>
      </c>
      <c r="S16" s="95"/>
      <c r="T16" s="31" t="str">
        <f t="shared" si="0"/>
        <v>Brd12V0</v>
      </c>
      <c r="U16" s="121" t="s">
        <v>31</v>
      </c>
      <c r="V16" s="121"/>
      <c r="W16" s="121"/>
      <c r="X16" s="121"/>
      <c r="Y16" s="121"/>
      <c r="Z16" s="121"/>
      <c r="AA16" s="31"/>
      <c r="AB16" s="108">
        <v>0</v>
      </c>
      <c r="AC16" s="109"/>
      <c r="AD16" s="109"/>
      <c r="AE16" s="110"/>
      <c r="AF16" s="31"/>
      <c r="AG16" s="52">
        <v>0</v>
      </c>
      <c r="AH16" s="53"/>
      <c r="AI16" s="31"/>
      <c r="AJ16" s="7" t="s">
        <v>14</v>
      </c>
      <c r="AK16" s="31"/>
      <c r="AL16" s="7" t="s">
        <v>129</v>
      </c>
      <c r="AM16" s="126" t="s">
        <v>313</v>
      </c>
      <c r="AN16" s="126"/>
      <c r="AO16" s="126"/>
      <c r="AP16" s="126"/>
      <c r="AQ16" s="126"/>
      <c r="AR16" s="126"/>
      <c r="AS16" s="31"/>
      <c r="AT16" s="108">
        <v>0</v>
      </c>
      <c r="AU16" s="109"/>
      <c r="AV16" s="109"/>
      <c r="AW16" s="110"/>
      <c r="AX16" s="31"/>
      <c r="AY16" s="52">
        <v>4</v>
      </c>
      <c r="AZ16" s="53"/>
      <c r="BA16" s="31"/>
      <c r="BB16" s="7" t="s">
        <v>314</v>
      </c>
      <c r="BC16" s="32"/>
      <c r="BD16" s="32">
        <f t="shared" si="8"/>
        <v>15</v>
      </c>
      <c r="BE16" s="32">
        <f t="shared" si="1"/>
        <v>9</v>
      </c>
      <c r="BF16" s="58">
        <f t="shared" si="6"/>
        <v>15</v>
      </c>
      <c r="BJ16" s="68" t="str">
        <f t="shared" si="7"/>
        <v>{PlVbramMax1V0, "PL Vbram max 1V0", 9, 1, 0, 1, 9, 19,"V"},</v>
      </c>
      <c r="BK16" s="35"/>
      <c r="BL16" s="23"/>
      <c r="BM16" s="23"/>
      <c r="BN16" s="35"/>
      <c r="BO16" s="35"/>
      <c r="BP16" s="35"/>
      <c r="BQ16" s="35"/>
      <c r="BR16" s="35"/>
      <c r="BS16" s="35"/>
      <c r="BT16" s="35"/>
      <c r="BU16" s="35"/>
      <c r="BV16" s="35"/>
      <c r="BW16" s="23"/>
      <c r="BX16" s="23"/>
      <c r="BY16" s="23"/>
      <c r="BZ16" s="35"/>
      <c r="CA16" s="23"/>
      <c r="CB16" s="35" t="str">
        <f t="shared" si="2"/>
        <v>{Brd12V0, "Brd 12V0", 9, 28, 0, 0, 9, 46,"V"},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35" t="str">
        <f t="shared" si="3"/>
        <v>{Blank56, "XXXXXXXXXXXXXXX", 9, 55, 0, 4, 9, 73,"X"},</v>
      </c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36"/>
    </row>
    <row r="17" spans="1:106">
      <c r="A17">
        <v>10</v>
      </c>
      <c r="B17" s="34" t="str">
        <f t="shared" si="4"/>
        <v>PsVccmem1V35</v>
      </c>
      <c r="C17" s="111" t="s">
        <v>19</v>
      </c>
      <c r="D17" s="111"/>
      <c r="E17" s="111"/>
      <c r="F17" s="111"/>
      <c r="G17" s="111"/>
      <c r="H17" s="111"/>
      <c r="I17" s="23"/>
      <c r="J17" s="105">
        <v>0</v>
      </c>
      <c r="K17" s="106"/>
      <c r="L17" s="106"/>
      <c r="M17" s="107"/>
      <c r="N17" s="23"/>
      <c r="O17" s="16">
        <v>1</v>
      </c>
      <c r="P17" s="22"/>
      <c r="Q17" s="23"/>
      <c r="R17" s="91" t="s">
        <v>14</v>
      </c>
      <c r="S17" s="93"/>
      <c r="T17" s="23" t="str">
        <f t="shared" si="0"/>
        <v>Dspy12V0</v>
      </c>
      <c r="U17" s="111" t="s">
        <v>56</v>
      </c>
      <c r="V17" s="111"/>
      <c r="W17" s="111"/>
      <c r="X17" s="111"/>
      <c r="Y17" s="111"/>
      <c r="Z17" s="111"/>
      <c r="AA17" s="23"/>
      <c r="AB17" s="105">
        <v>0</v>
      </c>
      <c r="AC17" s="106"/>
      <c r="AD17" s="106"/>
      <c r="AE17" s="107"/>
      <c r="AF17" s="23"/>
      <c r="AG17" s="16">
        <v>0</v>
      </c>
      <c r="AH17" s="22"/>
      <c r="AI17" s="23"/>
      <c r="AJ17" s="1" t="s">
        <v>14</v>
      </c>
      <c r="AK17" s="23"/>
      <c r="AL17" s="1" t="str">
        <f>SUBSTITUTE(PROPER(AM17)," ","")</f>
        <v>L22V5</v>
      </c>
      <c r="AM17" s="127" t="s">
        <v>27</v>
      </c>
      <c r="AN17" s="128"/>
      <c r="AO17" s="128"/>
      <c r="AP17" s="128"/>
      <c r="AQ17" s="128"/>
      <c r="AR17" s="129"/>
      <c r="AS17" s="23"/>
      <c r="AT17" s="83">
        <v>0</v>
      </c>
      <c r="AU17" s="84"/>
      <c r="AV17" s="84"/>
      <c r="AW17" s="85"/>
      <c r="AX17" s="23"/>
      <c r="AY17" s="16">
        <v>0</v>
      </c>
      <c r="AZ17" s="22"/>
      <c r="BA17" s="23"/>
      <c r="BB17" s="1" t="s">
        <v>14</v>
      </c>
      <c r="BC17" s="35"/>
      <c r="BD17" s="35">
        <f t="shared" ref="BD17:BD29" si="9">LEN(C17)</f>
        <v>14</v>
      </c>
      <c r="BE17" s="35">
        <f t="shared" si="1"/>
        <v>14</v>
      </c>
      <c r="BF17" s="59">
        <f t="shared" si="6"/>
        <v>6</v>
      </c>
      <c r="BJ17" s="68" t="str">
        <f t="shared" si="7"/>
        <v>{PsVccmem1V35, "PS Vccmem 1V35", 10, 1, 0, 1, 10, 19,"V"},</v>
      </c>
      <c r="BK17" s="35"/>
      <c r="BL17" s="23"/>
      <c r="BM17" s="23"/>
      <c r="BN17" s="35"/>
      <c r="BO17" s="35"/>
      <c r="BP17" s="35"/>
      <c r="BQ17" s="35"/>
      <c r="BR17" s="35"/>
      <c r="BS17" s="35"/>
      <c r="BT17" s="35"/>
      <c r="BU17" s="35"/>
      <c r="BV17" s="35"/>
      <c r="BW17" s="23"/>
      <c r="BX17" s="23"/>
      <c r="BY17" s="23"/>
      <c r="BZ17" s="35"/>
      <c r="CA17" s="23"/>
      <c r="CB17" s="35" t="str">
        <f t="shared" si="2"/>
        <v>{Dspy12V0, "DSPY 12V0", 10, 28, 0, 0, 10, 46,"V"},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35" t="str">
        <f t="shared" si="3"/>
        <v>{L22V5, "L2 2V5", 10, 55, 0, 0, 10, 73,"V"},</v>
      </c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36"/>
    </row>
    <row r="18" spans="1:106">
      <c r="A18">
        <v>11</v>
      </c>
      <c r="B18" s="34" t="str">
        <f t="shared" si="4"/>
        <v>PsVmemMin1V35</v>
      </c>
      <c r="C18" s="111" t="s">
        <v>46</v>
      </c>
      <c r="D18" s="111"/>
      <c r="E18" s="111"/>
      <c r="F18" s="111"/>
      <c r="G18" s="111"/>
      <c r="H18" s="111"/>
      <c r="I18" s="23"/>
      <c r="J18" s="105">
        <v>0</v>
      </c>
      <c r="K18" s="106"/>
      <c r="L18" s="106"/>
      <c r="M18" s="107"/>
      <c r="N18" s="23"/>
      <c r="O18" s="16">
        <v>1</v>
      </c>
      <c r="P18" s="22"/>
      <c r="Q18" s="23"/>
      <c r="R18" s="91" t="s">
        <v>14</v>
      </c>
      <c r="S18" s="93"/>
      <c r="T18" s="23" t="str">
        <f t="shared" si="0"/>
        <v>CjVccint0V95</v>
      </c>
      <c r="U18" s="111" t="s">
        <v>35</v>
      </c>
      <c r="V18" s="111"/>
      <c r="W18" s="111"/>
      <c r="X18" s="111"/>
      <c r="Y18" s="111"/>
      <c r="Z18" s="111"/>
      <c r="AA18" s="23"/>
      <c r="AB18" s="105">
        <v>0</v>
      </c>
      <c r="AC18" s="106"/>
      <c r="AD18" s="106"/>
      <c r="AE18" s="107"/>
      <c r="AF18" s="23"/>
      <c r="AG18" s="16">
        <v>1</v>
      </c>
      <c r="AH18" s="22"/>
      <c r="AI18" s="23"/>
      <c r="AJ18" s="1" t="s">
        <v>14</v>
      </c>
      <c r="AK18" s="23"/>
      <c r="AL18" s="1" t="str">
        <f>SUBSTITUTE(PROPER(AM18)," ","")</f>
        <v>L21V8</v>
      </c>
      <c r="AM18" s="127" t="s">
        <v>26</v>
      </c>
      <c r="AN18" s="128"/>
      <c r="AO18" s="128"/>
      <c r="AP18" s="128"/>
      <c r="AQ18" s="128"/>
      <c r="AR18" s="129"/>
      <c r="AS18" s="23"/>
      <c r="AT18" s="83">
        <v>0</v>
      </c>
      <c r="AU18" s="84"/>
      <c r="AV18" s="84"/>
      <c r="AW18" s="85"/>
      <c r="AX18" s="23"/>
      <c r="AY18" s="16">
        <v>0</v>
      </c>
      <c r="AZ18" s="22"/>
      <c r="BA18" s="23"/>
      <c r="BB18" s="1" t="s">
        <v>14</v>
      </c>
      <c r="BC18" s="35"/>
      <c r="BD18" s="35">
        <f t="shared" si="9"/>
        <v>16</v>
      </c>
      <c r="BE18" s="35">
        <f t="shared" si="1"/>
        <v>16</v>
      </c>
      <c r="BF18" s="59">
        <f>LEN(AM17)</f>
        <v>6</v>
      </c>
      <c r="BJ18" s="68" t="str">
        <f t="shared" si="7"/>
        <v>{PsVmemMin1V35, "PS Vmem min 1V35", 11, 1, 0, 1, 11, 19,"V"},</v>
      </c>
      <c r="BK18" s="35"/>
      <c r="BL18" s="23"/>
      <c r="BM18" s="23"/>
      <c r="BN18" s="35"/>
      <c r="BO18" s="35"/>
      <c r="BP18" s="35"/>
      <c r="BQ18" s="35"/>
      <c r="BR18" s="35"/>
      <c r="BS18" s="35"/>
      <c r="BT18" s="35"/>
      <c r="BU18" s="35"/>
      <c r="BV18" s="35"/>
      <c r="BW18" s="23"/>
      <c r="BX18" s="23"/>
      <c r="BY18" s="23"/>
      <c r="BZ18" s="35"/>
      <c r="CA18" s="23"/>
      <c r="CB18" s="35" t="str">
        <f t="shared" si="2"/>
        <v>{CjVccint0V95, "CJ Vccint 0V95", 11, 28, 0, 1, 11, 46,"V"},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35" t="str">
        <f t="shared" si="3"/>
        <v>{L21V8, "L2 1V8", 11, 55, 0, 0, 11, 73,"V"},</v>
      </c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36"/>
    </row>
    <row r="19" spans="1:106">
      <c r="A19">
        <v>12</v>
      </c>
      <c r="B19" s="34" t="str">
        <f t="shared" si="4"/>
        <v>PsVmemMax1V35</v>
      </c>
      <c r="C19" s="111" t="s">
        <v>47</v>
      </c>
      <c r="D19" s="111"/>
      <c r="E19" s="111"/>
      <c r="F19" s="111"/>
      <c r="G19" s="111"/>
      <c r="H19" s="111"/>
      <c r="I19" s="23"/>
      <c r="J19" s="105">
        <v>0</v>
      </c>
      <c r="K19" s="106"/>
      <c r="L19" s="106"/>
      <c r="M19" s="107"/>
      <c r="N19" s="23"/>
      <c r="O19" s="16">
        <v>1</v>
      </c>
      <c r="P19" s="22"/>
      <c r="Q19" s="23"/>
      <c r="R19" s="91" t="s">
        <v>14</v>
      </c>
      <c r="S19" s="93"/>
      <c r="T19" s="23" t="str">
        <f t="shared" si="0"/>
        <v>CjVintMin0V95</v>
      </c>
      <c r="U19" s="111" t="s">
        <v>70</v>
      </c>
      <c r="V19" s="111"/>
      <c r="W19" s="111"/>
      <c r="X19" s="111"/>
      <c r="Y19" s="111"/>
      <c r="Z19" s="111"/>
      <c r="AA19" s="23"/>
      <c r="AB19" s="105">
        <v>0</v>
      </c>
      <c r="AC19" s="106"/>
      <c r="AD19" s="106"/>
      <c r="AE19" s="107"/>
      <c r="AF19" s="23"/>
      <c r="AG19" s="16">
        <v>1</v>
      </c>
      <c r="AH19" s="22"/>
      <c r="AI19" s="23"/>
      <c r="AJ19" s="1" t="s">
        <v>14</v>
      </c>
      <c r="AK19" s="23"/>
      <c r="AL19" s="1" t="str">
        <f>SUBSTITUTE(PROPER(AM19)," ","")</f>
        <v>L2Pll1V0</v>
      </c>
      <c r="AM19" s="127" t="s">
        <v>25</v>
      </c>
      <c r="AN19" s="128"/>
      <c r="AO19" s="128"/>
      <c r="AP19" s="128"/>
      <c r="AQ19" s="128"/>
      <c r="AR19" s="129"/>
      <c r="AS19" s="23"/>
      <c r="AT19" s="83">
        <v>0</v>
      </c>
      <c r="AU19" s="84"/>
      <c r="AV19" s="84"/>
      <c r="AW19" s="85"/>
      <c r="AX19" s="23"/>
      <c r="AY19" s="16">
        <v>1</v>
      </c>
      <c r="AZ19" s="22"/>
      <c r="BA19" s="23"/>
      <c r="BB19" s="1" t="s">
        <v>14</v>
      </c>
      <c r="BC19" s="35"/>
      <c r="BD19" s="35">
        <f t="shared" si="9"/>
        <v>16</v>
      </c>
      <c r="BE19" s="35">
        <f t="shared" si="1"/>
        <v>16</v>
      </c>
      <c r="BF19" s="59">
        <f>LEN(AM18)</f>
        <v>6</v>
      </c>
      <c r="BJ19" s="68" t="str">
        <f t="shared" si="7"/>
        <v>{PsVmemMax1V35, "PS Vmem max 1V35", 12, 1, 0, 1, 12, 19,"V"},</v>
      </c>
      <c r="BK19" s="35"/>
      <c r="BL19" s="23"/>
      <c r="BM19" s="23"/>
      <c r="BN19" s="35"/>
      <c r="BO19" s="35"/>
      <c r="BP19" s="35"/>
      <c r="BQ19" s="35"/>
      <c r="BR19" s="35"/>
      <c r="BS19" s="35"/>
      <c r="BT19" s="35"/>
      <c r="BU19" s="35"/>
      <c r="BV19" s="35"/>
      <c r="BW19" s="23"/>
      <c r="BX19" s="23"/>
      <c r="BY19" s="23"/>
      <c r="BZ19" s="35"/>
      <c r="CA19" s="23"/>
      <c r="CB19" s="35" t="str">
        <f t="shared" si="2"/>
        <v>{CjVintMin0V95, "CJ Vint min 0V95", 12, 28, 0, 1, 12, 46,"V"},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35" t="str">
        <f t="shared" si="3"/>
        <v>{L2Pll1V0, "L2 PLL 1V0", 12, 55, 0, 1, 12, 73,"V"},</v>
      </c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36"/>
    </row>
    <row r="20" spans="1:106">
      <c r="A20">
        <v>13</v>
      </c>
      <c r="B20" s="34" t="str">
        <f t="shared" si="4"/>
        <v>BrdDdr31V35</v>
      </c>
      <c r="C20" s="144" t="s">
        <v>34</v>
      </c>
      <c r="D20" s="144"/>
      <c r="E20" s="144"/>
      <c r="F20" s="144"/>
      <c r="G20" s="144"/>
      <c r="H20" s="144"/>
      <c r="I20" s="23"/>
      <c r="J20" s="105">
        <v>0</v>
      </c>
      <c r="K20" s="106"/>
      <c r="L20" s="106"/>
      <c r="M20" s="107"/>
      <c r="N20" s="23"/>
      <c r="O20" s="65">
        <v>0</v>
      </c>
      <c r="P20" s="22"/>
      <c r="Q20" s="23"/>
      <c r="R20" s="91" t="s">
        <v>14</v>
      </c>
      <c r="S20" s="93"/>
      <c r="T20" s="23" t="str">
        <f t="shared" si="0"/>
        <v>CjVintMax0V95</v>
      </c>
      <c r="U20" s="111" t="s">
        <v>71</v>
      </c>
      <c r="V20" s="111"/>
      <c r="W20" s="111"/>
      <c r="X20" s="111"/>
      <c r="Y20" s="111"/>
      <c r="Z20" s="111"/>
      <c r="AA20" s="23"/>
      <c r="AB20" s="105">
        <v>0</v>
      </c>
      <c r="AC20" s="106"/>
      <c r="AD20" s="106"/>
      <c r="AE20" s="107"/>
      <c r="AF20" s="23"/>
      <c r="AG20" s="16">
        <v>1</v>
      </c>
      <c r="AH20" s="22"/>
      <c r="AI20" s="23"/>
      <c r="AJ20" s="1" t="s">
        <v>14</v>
      </c>
      <c r="AK20" s="23"/>
      <c r="AL20" s="1" t="str">
        <f>SUBSTITUTE(PROPER(AM20)," ","")</f>
        <v>L2Vdd0V95</v>
      </c>
      <c r="AM20" s="127" t="s">
        <v>421</v>
      </c>
      <c r="AN20" s="128"/>
      <c r="AO20" s="128"/>
      <c r="AP20" s="128"/>
      <c r="AQ20" s="128"/>
      <c r="AR20" s="129"/>
      <c r="AS20" s="23"/>
      <c r="AT20" s="83">
        <v>0</v>
      </c>
      <c r="AU20" s="84"/>
      <c r="AV20" s="84"/>
      <c r="AW20" s="85"/>
      <c r="AX20" s="23"/>
      <c r="AY20" s="16">
        <v>1</v>
      </c>
      <c r="AZ20" s="22"/>
      <c r="BA20" s="23"/>
      <c r="BB20" s="1" t="s">
        <v>14</v>
      </c>
      <c r="BC20" s="35"/>
      <c r="BD20" s="35">
        <f t="shared" si="9"/>
        <v>13</v>
      </c>
      <c r="BE20" s="35">
        <f t="shared" si="1"/>
        <v>15</v>
      </c>
      <c r="BF20" s="59">
        <f>LEN(AM19)</f>
        <v>10</v>
      </c>
      <c r="BJ20" s="68" t="str">
        <f t="shared" si="7"/>
        <v>{BrdDdr31V35, "Brd DDR3 1V35", 13, 1, 0, 0, 13, 19,"V"},</v>
      </c>
      <c r="BK20" s="35"/>
      <c r="BL20" s="23"/>
      <c r="BM20" s="23"/>
      <c r="BN20" s="35"/>
      <c r="BO20" s="35"/>
      <c r="BP20" s="35"/>
      <c r="BQ20" s="35"/>
      <c r="BR20" s="35"/>
      <c r="BS20" s="35"/>
      <c r="BT20" s="35"/>
      <c r="BU20" s="35"/>
      <c r="BV20" s="35"/>
      <c r="BW20" s="23"/>
      <c r="BX20" s="23"/>
      <c r="BY20" s="23"/>
      <c r="BZ20" s="35"/>
      <c r="CA20" s="23"/>
      <c r="CB20" s="35" t="str">
        <f t="shared" si="2"/>
        <v>{CjVintMax0V95, "CJ Vint max 0V95", 13, 28, 0, 1, 13, 46,"V"},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35" t="str">
        <f t="shared" si="3"/>
        <v>{L2Vdd0V95, "L2 VDD 0V95", 13, 55, 0, 1, 13, 73,"V"},</v>
      </c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36"/>
    </row>
    <row r="21" spans="1:106">
      <c r="A21">
        <v>14</v>
      </c>
      <c r="B21" s="34" t="str">
        <f t="shared" si="4"/>
        <v>PsDdr30V675</v>
      </c>
      <c r="C21" s="111" t="s">
        <v>32</v>
      </c>
      <c r="D21" s="111"/>
      <c r="E21" s="111"/>
      <c r="F21" s="111"/>
      <c r="G21" s="111"/>
      <c r="H21" s="111"/>
      <c r="I21" s="23"/>
      <c r="J21" s="105">
        <v>0</v>
      </c>
      <c r="K21" s="106"/>
      <c r="L21" s="106"/>
      <c r="M21" s="107"/>
      <c r="N21" s="23"/>
      <c r="O21" s="16">
        <v>1</v>
      </c>
      <c r="P21" s="22"/>
      <c r="Q21" s="23"/>
      <c r="R21" s="91" t="s">
        <v>14</v>
      </c>
      <c r="S21" s="93"/>
      <c r="T21" s="23" t="str">
        <f t="shared" si="0"/>
        <v>PolVint1V0_V</v>
      </c>
      <c r="U21" s="111" t="s">
        <v>257</v>
      </c>
      <c r="V21" s="111"/>
      <c r="W21" s="111"/>
      <c r="X21" s="111"/>
      <c r="Y21" s="111"/>
      <c r="Z21" s="111"/>
      <c r="AA21" s="23"/>
      <c r="AB21" s="105">
        <v>0</v>
      </c>
      <c r="AC21" s="106"/>
      <c r="AD21" s="106"/>
      <c r="AE21" s="107"/>
      <c r="AF21" s="23"/>
      <c r="AG21" s="16">
        <v>1</v>
      </c>
      <c r="AH21" s="22"/>
      <c r="AI21" s="23"/>
      <c r="AJ21" s="1" t="s">
        <v>14</v>
      </c>
      <c r="AK21" s="23"/>
      <c r="AL21" s="1" t="str">
        <f>SUBSTITUTE(PROPER(AM21)," ","")</f>
        <v>PolL2Vdd_V</v>
      </c>
      <c r="AM21" s="130" t="s">
        <v>292</v>
      </c>
      <c r="AN21" s="130"/>
      <c r="AO21" s="130"/>
      <c r="AP21" s="130"/>
      <c r="AQ21" s="130"/>
      <c r="AR21" s="130"/>
      <c r="AS21" s="23"/>
      <c r="AT21" s="105">
        <v>0</v>
      </c>
      <c r="AU21" s="106"/>
      <c r="AV21" s="106"/>
      <c r="AW21" s="107"/>
      <c r="AX21" s="23"/>
      <c r="AY21" s="16">
        <v>1</v>
      </c>
      <c r="AZ21" s="22"/>
      <c r="BA21" s="23"/>
      <c r="BB21" s="1" t="s">
        <v>14</v>
      </c>
      <c r="BC21" s="35"/>
      <c r="BD21" s="35">
        <f t="shared" si="9"/>
        <v>13</v>
      </c>
      <c r="BE21" s="35">
        <f t="shared" si="1"/>
        <v>16</v>
      </c>
      <c r="BF21" s="59">
        <f>LEN(AM20)</f>
        <v>11</v>
      </c>
      <c r="BJ21" s="68" t="str">
        <f t="shared" si="7"/>
        <v>{PsDdr30V675, "PS DDR3 0V675", 14, 1, 0, 1, 14, 19,"V"},</v>
      </c>
      <c r="BK21" s="35"/>
      <c r="BL21" s="23"/>
      <c r="BM21" s="23"/>
      <c r="BN21" s="35"/>
      <c r="BO21" s="35"/>
      <c r="BP21" s="35"/>
      <c r="BQ21" s="35"/>
      <c r="BR21" s="35"/>
      <c r="BS21" s="35"/>
      <c r="BT21" s="35"/>
      <c r="BU21" s="35"/>
      <c r="BV21" s="35"/>
      <c r="BW21" s="23"/>
      <c r="BX21" s="23"/>
      <c r="BY21" s="23"/>
      <c r="BZ21" s="35"/>
      <c r="CA21" s="23"/>
      <c r="CB21" s="35" t="str">
        <f t="shared" si="2"/>
        <v>{PolVint1V0_V, "POL VINT 1V0_ V", 14, 28, 0, 1, 14, 46,"V"},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35" t="str">
        <f t="shared" si="3"/>
        <v>{PolL2Vdd_V, "POL L2 VDD_V", 14, 55, 0, 1, 14, 73,"V"},</v>
      </c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36"/>
    </row>
    <row r="22" spans="1:106">
      <c r="A22">
        <v>15</v>
      </c>
      <c r="B22" s="34" t="str">
        <f t="shared" si="4"/>
        <v>PlDdr30V675</v>
      </c>
      <c r="C22" s="111" t="s">
        <v>33</v>
      </c>
      <c r="D22" s="111"/>
      <c r="E22" s="111"/>
      <c r="F22" s="111"/>
      <c r="G22" s="111"/>
      <c r="H22" s="111"/>
      <c r="I22" s="23"/>
      <c r="J22" s="105">
        <v>0</v>
      </c>
      <c r="K22" s="106"/>
      <c r="L22" s="106"/>
      <c r="M22" s="107"/>
      <c r="N22" s="23"/>
      <c r="O22" s="16">
        <v>1</v>
      </c>
      <c r="P22" s="22"/>
      <c r="Q22" s="23"/>
      <c r="R22" s="91" t="s">
        <v>14</v>
      </c>
      <c r="S22" s="93"/>
      <c r="T22" s="23" t="str">
        <f t="shared" si="0"/>
        <v>PolVint1V0_I0</v>
      </c>
      <c r="U22" s="111" t="s">
        <v>423</v>
      </c>
      <c r="V22" s="111"/>
      <c r="W22" s="111"/>
      <c r="X22" s="111"/>
      <c r="Y22" s="111"/>
      <c r="Z22" s="111"/>
      <c r="AA22" s="23"/>
      <c r="AB22" s="105">
        <v>0</v>
      </c>
      <c r="AC22" s="106"/>
      <c r="AD22" s="106"/>
      <c r="AE22" s="107"/>
      <c r="AF22" s="23"/>
      <c r="AG22" s="16">
        <v>0</v>
      </c>
      <c r="AH22" s="22"/>
      <c r="AI22" s="23"/>
      <c r="AJ22" s="1" t="s">
        <v>0</v>
      </c>
      <c r="AK22" s="23"/>
      <c r="AL22" s="1" t="str">
        <f t="shared" si="5"/>
        <v>PolL2Vdd_I0</v>
      </c>
      <c r="AM22" s="130" t="s">
        <v>312</v>
      </c>
      <c r="AN22" s="130"/>
      <c r="AO22" s="130"/>
      <c r="AP22" s="130"/>
      <c r="AQ22" s="130"/>
      <c r="AR22" s="130"/>
      <c r="AS22" s="23"/>
      <c r="AT22" s="105">
        <v>0</v>
      </c>
      <c r="AU22" s="106"/>
      <c r="AV22" s="106"/>
      <c r="AW22" s="107"/>
      <c r="AX22" s="23"/>
      <c r="AY22" s="70">
        <v>0</v>
      </c>
      <c r="AZ22" s="23"/>
      <c r="BA22" s="23"/>
      <c r="BB22" s="97" t="s">
        <v>0</v>
      </c>
      <c r="BC22" s="35"/>
      <c r="BD22" s="35">
        <f t="shared" si="9"/>
        <v>13</v>
      </c>
      <c r="BE22" s="35">
        <f t="shared" si="1"/>
        <v>16</v>
      </c>
      <c r="BF22" s="59">
        <f>LEN(AM21)</f>
        <v>12</v>
      </c>
      <c r="BJ22" s="68" t="str">
        <f t="shared" si="7"/>
        <v>{PlDdr30V675, "PL DDR3 0V675", 15, 1, 0, 1, 15, 19,"V"},</v>
      </c>
      <c r="BK22" s="35"/>
      <c r="BL22" s="23"/>
      <c r="BM22" s="23"/>
      <c r="BN22" s="35"/>
      <c r="BO22" s="35"/>
      <c r="BP22" s="35"/>
      <c r="BQ22" s="35"/>
      <c r="BR22" s="35"/>
      <c r="BS22" s="35"/>
      <c r="BT22" s="35"/>
      <c r="BU22" s="35"/>
      <c r="BV22" s="35"/>
      <c r="BW22" s="23"/>
      <c r="BX22" s="23"/>
      <c r="BY22" s="23"/>
      <c r="BZ22" s="35"/>
      <c r="CA22" s="23"/>
      <c r="CB22" s="35" t="str">
        <f t="shared" si="2"/>
        <v>{PolVint1V0_I0, "POL VINT 1V0_ I0", 15, 28, 0, 0, 15, 46,"A"},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35" t="str">
        <f t="shared" si="3"/>
        <v>{PolL2Vdd_I0, "POL L2 VDD_I0", 15, 55, 0, 0, 15, 73,"A"},</v>
      </c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36"/>
    </row>
    <row r="23" spans="1:106" ht="15" thickBot="1">
      <c r="A23">
        <v>16</v>
      </c>
      <c r="B23" s="54" t="str">
        <f t="shared" si="4"/>
        <v>PlMgt1V0</v>
      </c>
      <c r="C23" s="118" t="s">
        <v>22</v>
      </c>
      <c r="D23" s="118"/>
      <c r="E23" s="118"/>
      <c r="F23" s="118"/>
      <c r="G23" s="118"/>
      <c r="H23" s="118"/>
      <c r="I23" s="37"/>
      <c r="J23" s="131">
        <v>0</v>
      </c>
      <c r="K23" s="132"/>
      <c r="L23" s="132"/>
      <c r="M23" s="133"/>
      <c r="N23" s="37"/>
      <c r="O23" s="86">
        <v>0</v>
      </c>
      <c r="P23" s="55"/>
      <c r="Q23" s="37"/>
      <c r="R23" s="92" t="s">
        <v>14</v>
      </c>
      <c r="S23" s="94"/>
      <c r="T23" s="37" t="str">
        <f t="shared" si="0"/>
        <v>PolVint1V0_I1</v>
      </c>
      <c r="U23" s="118" t="s">
        <v>424</v>
      </c>
      <c r="V23" s="118"/>
      <c r="W23" s="118"/>
      <c r="X23" s="118"/>
      <c r="Y23" s="118"/>
      <c r="Z23" s="118"/>
      <c r="AA23" s="37"/>
      <c r="AB23" s="131">
        <v>0</v>
      </c>
      <c r="AC23" s="132"/>
      <c r="AD23" s="132"/>
      <c r="AE23" s="133"/>
      <c r="AF23" s="37"/>
      <c r="AG23" s="86">
        <v>0</v>
      </c>
      <c r="AH23" s="55"/>
      <c r="AI23" s="37"/>
      <c r="AJ23" s="12" t="s">
        <v>0</v>
      </c>
      <c r="AK23" s="37"/>
      <c r="AL23" s="12" t="str">
        <f t="shared" si="5"/>
        <v>PolL2Vdd_I1</v>
      </c>
      <c r="AM23" s="134" t="s">
        <v>293</v>
      </c>
      <c r="AN23" s="134"/>
      <c r="AO23" s="134"/>
      <c r="AP23" s="134"/>
      <c r="AQ23" s="134"/>
      <c r="AR23" s="134"/>
      <c r="AS23" s="37"/>
      <c r="AT23" s="131">
        <v>0</v>
      </c>
      <c r="AU23" s="132"/>
      <c r="AV23" s="132"/>
      <c r="AW23" s="133"/>
      <c r="AX23" s="37"/>
      <c r="AY23" s="86">
        <v>0</v>
      </c>
      <c r="AZ23" s="55"/>
      <c r="BA23" s="37"/>
      <c r="BB23" s="12" t="s">
        <v>0</v>
      </c>
      <c r="BC23" s="38"/>
      <c r="BD23" s="38">
        <f t="shared" si="9"/>
        <v>10</v>
      </c>
      <c r="BE23" s="38">
        <f t="shared" si="1"/>
        <v>15</v>
      </c>
      <c r="BF23" s="61">
        <f t="shared" si="6"/>
        <v>13</v>
      </c>
      <c r="BJ23" s="68" t="str">
        <f t="shared" si="7"/>
        <v>{PlMgt1V0, "PL MGT 1V0", 16, 1, 0, 0, 16, 19,"V"},</v>
      </c>
      <c r="BK23" s="35"/>
      <c r="BL23" s="23"/>
      <c r="BM23" s="23"/>
      <c r="BN23" s="35"/>
      <c r="BO23" s="35"/>
      <c r="BP23" s="35"/>
      <c r="BQ23" s="35"/>
      <c r="BR23" s="35"/>
      <c r="BS23" s="35"/>
      <c r="BT23" s="35"/>
      <c r="BU23" s="35"/>
      <c r="BV23" s="35"/>
      <c r="BW23" s="23"/>
      <c r="BX23" s="23"/>
      <c r="BY23" s="23"/>
      <c r="BZ23" s="35"/>
      <c r="CA23" s="23"/>
      <c r="CB23" s="35" t="str">
        <f t="shared" si="2"/>
        <v>{PolVint1V0_I1, "POL VINT 1V0_ I1", 16, 28, 0, 0, 16, 46,"A"},</v>
      </c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35" t="str">
        <f t="shared" si="3"/>
        <v>{PolL2Vdd_I1, "POL L2 VDD_I1", 16, 55, 0, 0, 16, 73,"A"},</v>
      </c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36"/>
    </row>
    <row r="24" spans="1:106">
      <c r="A24">
        <v>17</v>
      </c>
      <c r="B24" s="30" t="str">
        <f t="shared" si="4"/>
        <v>PlMgt1V2</v>
      </c>
      <c r="C24" s="121" t="s">
        <v>23</v>
      </c>
      <c r="D24" s="121"/>
      <c r="E24" s="121"/>
      <c r="F24" s="121"/>
      <c r="G24" s="121"/>
      <c r="H24" s="121"/>
      <c r="I24" s="31"/>
      <c r="J24" s="108">
        <v>0</v>
      </c>
      <c r="K24" s="109"/>
      <c r="L24" s="109"/>
      <c r="M24" s="110"/>
      <c r="N24" s="31"/>
      <c r="O24" s="52">
        <v>0</v>
      </c>
      <c r="P24" s="53"/>
      <c r="Q24" s="31"/>
      <c r="R24" s="90" t="s">
        <v>14</v>
      </c>
      <c r="S24" s="95"/>
      <c r="T24" s="31" t="str">
        <f t="shared" si="0"/>
        <v>PolVint1V_It</v>
      </c>
      <c r="U24" s="121" t="s">
        <v>258</v>
      </c>
      <c r="V24" s="121"/>
      <c r="W24" s="121"/>
      <c r="X24" s="121"/>
      <c r="Y24" s="121"/>
      <c r="Z24" s="121"/>
      <c r="AA24" s="31"/>
      <c r="AB24" s="108">
        <v>0</v>
      </c>
      <c r="AC24" s="109"/>
      <c r="AD24" s="109"/>
      <c r="AE24" s="110"/>
      <c r="AF24" s="31"/>
      <c r="AG24" s="52">
        <v>0</v>
      </c>
      <c r="AH24" s="53"/>
      <c r="AI24" s="31"/>
      <c r="AJ24" s="7" t="s">
        <v>0</v>
      </c>
      <c r="AK24" s="31"/>
      <c r="AL24" s="7" t="str">
        <f t="shared" si="5"/>
        <v>PolL2Vdd_I2</v>
      </c>
      <c r="AM24" s="126" t="s">
        <v>294</v>
      </c>
      <c r="AN24" s="126"/>
      <c r="AO24" s="126"/>
      <c r="AP24" s="126"/>
      <c r="AQ24" s="126"/>
      <c r="AR24" s="126"/>
      <c r="AS24" s="31"/>
      <c r="AT24" s="108">
        <v>0</v>
      </c>
      <c r="AU24" s="109"/>
      <c r="AV24" s="109"/>
      <c r="AW24" s="110"/>
      <c r="AX24" s="31"/>
      <c r="AY24" s="52">
        <v>0</v>
      </c>
      <c r="AZ24" s="53"/>
      <c r="BA24" s="31"/>
      <c r="BB24" s="7" t="s">
        <v>0</v>
      </c>
      <c r="BC24" s="32"/>
      <c r="BD24" s="32">
        <f t="shared" si="9"/>
        <v>10</v>
      </c>
      <c r="BE24" s="32">
        <f t="shared" si="1"/>
        <v>13</v>
      </c>
      <c r="BF24" s="58">
        <f t="shared" si="6"/>
        <v>13</v>
      </c>
      <c r="BJ24" s="68" t="str">
        <f t="shared" si="7"/>
        <v>{PlMgt1V2, "PL MGT 1V2", 17, 1, 0, 0, 17, 19,"V"},</v>
      </c>
      <c r="BK24" s="35"/>
      <c r="BL24" s="23"/>
      <c r="BM24" s="23"/>
      <c r="BN24" s="35"/>
      <c r="BO24" s="35"/>
      <c r="BP24" s="35"/>
      <c r="BQ24" s="35"/>
      <c r="BR24" s="35"/>
      <c r="BS24" s="35"/>
      <c r="BT24" s="35"/>
      <c r="BU24" s="35"/>
      <c r="BV24" s="35"/>
      <c r="BW24" s="23"/>
      <c r="BX24" s="23"/>
      <c r="BY24" s="23"/>
      <c r="BZ24" s="35"/>
      <c r="CA24" s="23"/>
      <c r="CB24" s="35" t="str">
        <f t="shared" si="2"/>
        <v>{PolVint1V_It, "POL VINT 1V_ It", 17, 28, 0, 0, 17, 46,"A"},</v>
      </c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35" t="str">
        <f t="shared" si="3"/>
        <v>{PolL2Vdd_I2, "POL L2 VDD_I2", 17, 55, 0, 0, 17, 73,"A"},</v>
      </c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36"/>
    </row>
    <row r="25" spans="1:106">
      <c r="A25">
        <v>18</v>
      </c>
      <c r="B25" s="34" t="str">
        <f t="shared" si="4"/>
        <v>PlMgt1V8</v>
      </c>
      <c r="C25" s="111" t="s">
        <v>24</v>
      </c>
      <c r="D25" s="111"/>
      <c r="E25" s="111"/>
      <c r="F25" s="111"/>
      <c r="G25" s="111"/>
      <c r="H25" s="111"/>
      <c r="I25" s="23"/>
      <c r="J25" s="105">
        <v>0</v>
      </c>
      <c r="K25" s="106"/>
      <c r="L25" s="106"/>
      <c r="M25" s="107"/>
      <c r="N25" s="23"/>
      <c r="O25" s="16">
        <v>0</v>
      </c>
      <c r="P25" s="22"/>
      <c r="Q25" s="23"/>
      <c r="R25" s="91" t="s">
        <v>14</v>
      </c>
      <c r="S25" s="93"/>
      <c r="T25" s="23" t="str">
        <f t="shared" si="0"/>
        <v>CjVbram0V95</v>
      </c>
      <c r="U25" s="111" t="s">
        <v>37</v>
      </c>
      <c r="V25" s="111"/>
      <c r="W25" s="111"/>
      <c r="X25" s="111"/>
      <c r="Y25" s="111"/>
      <c r="Z25" s="111"/>
      <c r="AA25" s="23"/>
      <c r="AB25" s="105">
        <v>0</v>
      </c>
      <c r="AC25" s="106"/>
      <c r="AD25" s="106"/>
      <c r="AE25" s="107"/>
      <c r="AF25" s="23"/>
      <c r="AG25" s="16">
        <v>1</v>
      </c>
      <c r="AH25" s="22"/>
      <c r="AI25" s="23"/>
      <c r="AJ25" s="1" t="s">
        <v>14</v>
      </c>
      <c r="AK25" s="23"/>
      <c r="AL25" s="1" t="str">
        <f t="shared" si="5"/>
        <v>PolL2Vdd_I3</v>
      </c>
      <c r="AM25" s="130" t="s">
        <v>295</v>
      </c>
      <c r="AN25" s="130"/>
      <c r="AO25" s="130"/>
      <c r="AP25" s="130"/>
      <c r="AQ25" s="130"/>
      <c r="AR25" s="130"/>
      <c r="AS25" s="23"/>
      <c r="AT25" s="105">
        <v>0</v>
      </c>
      <c r="AU25" s="106"/>
      <c r="AV25" s="106"/>
      <c r="AW25" s="107"/>
      <c r="AX25" s="23"/>
      <c r="AY25" s="16">
        <v>0</v>
      </c>
      <c r="AZ25" s="22"/>
      <c r="BA25" s="23"/>
      <c r="BB25" s="1" t="s">
        <v>0</v>
      </c>
      <c r="BC25" s="35"/>
      <c r="BD25" s="35">
        <f t="shared" si="9"/>
        <v>10</v>
      </c>
      <c r="BE25" s="35">
        <f t="shared" si="1"/>
        <v>16</v>
      </c>
      <c r="BF25" s="59">
        <f t="shared" si="6"/>
        <v>13</v>
      </c>
      <c r="BJ25" s="68" t="str">
        <f t="shared" si="7"/>
        <v>{PlMgt1V8, "PL MGT 1V8", 18, 1, 0, 0, 18, 19,"V"},</v>
      </c>
      <c r="BK25" s="35"/>
      <c r="BL25" s="23"/>
      <c r="BM25" s="23"/>
      <c r="BN25" s="35"/>
      <c r="BO25" s="35"/>
      <c r="BP25" s="35"/>
      <c r="BQ25" s="35"/>
      <c r="BR25" s="35"/>
      <c r="BS25" s="35"/>
      <c r="BT25" s="35"/>
      <c r="BU25" s="35"/>
      <c r="BV25" s="35"/>
      <c r="BW25" s="23"/>
      <c r="BX25" s="23"/>
      <c r="BY25" s="23"/>
      <c r="BZ25" s="35"/>
      <c r="CA25" s="23"/>
      <c r="CB25" s="35" t="str">
        <f t="shared" si="2"/>
        <v>{CjVbram0V95, "CJ Vbram 0V95", 18, 28, 0, 1, 18, 46,"V"},</v>
      </c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35" t="str">
        <f t="shared" si="3"/>
        <v>{PolL2Vdd_I3, "POL L2 VDD_I3", 18, 55, 0, 0, 18, 73,"A"},</v>
      </c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36"/>
    </row>
    <row r="26" spans="1:106">
      <c r="A26">
        <v>19</v>
      </c>
      <c r="B26" s="34" t="str">
        <f t="shared" si="4"/>
        <v>CpBrd1V0</v>
      </c>
      <c r="C26" s="111" t="s">
        <v>38</v>
      </c>
      <c r="D26" s="111"/>
      <c r="E26" s="111"/>
      <c r="F26" s="111"/>
      <c r="G26" s="111"/>
      <c r="H26" s="111"/>
      <c r="I26" s="23"/>
      <c r="J26" s="105">
        <v>0</v>
      </c>
      <c r="K26" s="106"/>
      <c r="L26" s="106"/>
      <c r="M26" s="107"/>
      <c r="N26" s="23"/>
      <c r="O26" s="16">
        <v>0</v>
      </c>
      <c r="P26" s="22"/>
      <c r="Q26" s="23"/>
      <c r="R26" s="91" t="s">
        <v>14</v>
      </c>
      <c r="S26" s="93"/>
      <c r="T26" s="23" t="str">
        <f t="shared" si="0"/>
        <v>CjVramMin0V95</v>
      </c>
      <c r="U26" s="111" t="s">
        <v>72</v>
      </c>
      <c r="V26" s="111"/>
      <c r="W26" s="111"/>
      <c r="X26" s="111"/>
      <c r="Y26" s="111"/>
      <c r="Z26" s="111"/>
      <c r="AA26" s="23"/>
      <c r="AB26" s="105">
        <v>0</v>
      </c>
      <c r="AC26" s="106"/>
      <c r="AD26" s="106"/>
      <c r="AE26" s="107"/>
      <c r="AF26" s="23"/>
      <c r="AG26" s="16">
        <v>1</v>
      </c>
      <c r="AH26" s="22"/>
      <c r="AI26" s="23"/>
      <c r="AJ26" s="1" t="s">
        <v>14</v>
      </c>
      <c r="AK26" s="23"/>
      <c r="AL26" s="1" t="str">
        <f t="shared" si="5"/>
        <v>PolL2Vdd_I4</v>
      </c>
      <c r="AM26" s="130" t="s">
        <v>296</v>
      </c>
      <c r="AN26" s="130"/>
      <c r="AO26" s="130"/>
      <c r="AP26" s="130"/>
      <c r="AQ26" s="130"/>
      <c r="AR26" s="130"/>
      <c r="AS26" s="23"/>
      <c r="AT26" s="105">
        <v>0</v>
      </c>
      <c r="AU26" s="106"/>
      <c r="AV26" s="106"/>
      <c r="AW26" s="107"/>
      <c r="AX26" s="23"/>
      <c r="AY26" s="16">
        <v>0</v>
      </c>
      <c r="AZ26" s="22"/>
      <c r="BA26" s="23"/>
      <c r="BB26" s="1" t="s">
        <v>0</v>
      </c>
      <c r="BC26" s="35"/>
      <c r="BD26" s="35">
        <f t="shared" si="9"/>
        <v>10</v>
      </c>
      <c r="BE26" s="35">
        <f t="shared" si="1"/>
        <v>16</v>
      </c>
      <c r="BF26" s="59">
        <f t="shared" si="6"/>
        <v>13</v>
      </c>
      <c r="BJ26" s="68" t="str">
        <f t="shared" si="7"/>
        <v>{CpBrd1V0, "CP Brd 1V0", 19, 1, 0, 0, 19, 19,"V"},</v>
      </c>
      <c r="BK26" s="35"/>
      <c r="BL26" s="23"/>
      <c r="BM26" s="23"/>
      <c r="BN26" s="35"/>
      <c r="BO26" s="35"/>
      <c r="BP26" s="35"/>
      <c r="BQ26" s="35"/>
      <c r="BR26" s="35"/>
      <c r="BS26" s="35"/>
      <c r="BT26" s="35"/>
      <c r="BU26" s="35"/>
      <c r="BV26" s="35"/>
      <c r="BW26" s="23"/>
      <c r="BX26" s="23"/>
      <c r="BY26" s="23"/>
      <c r="BZ26" s="35"/>
      <c r="CA26" s="23"/>
      <c r="CB26" s="35" t="str">
        <f t="shared" si="2"/>
        <v>{CjVramMin0V95, "CJ Vram min 0V95", 19, 28, 0, 1, 19, 46,"V"},</v>
      </c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35" t="str">
        <f t="shared" si="3"/>
        <v>{PolL2Vdd_I4, "POL L2 VDD_I4", 19, 55, 0, 0, 19, 73,"A"},</v>
      </c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36"/>
    </row>
    <row r="27" spans="1:106">
      <c r="A27">
        <v>20</v>
      </c>
      <c r="B27" s="34" t="str">
        <f t="shared" si="4"/>
        <v>Pex1V0</v>
      </c>
      <c r="C27" s="111" t="s">
        <v>57</v>
      </c>
      <c r="D27" s="111"/>
      <c r="E27" s="111"/>
      <c r="F27" s="111"/>
      <c r="G27" s="111"/>
      <c r="H27" s="111"/>
      <c r="I27" s="23"/>
      <c r="J27" s="105">
        <v>0</v>
      </c>
      <c r="K27" s="106"/>
      <c r="L27" s="106"/>
      <c r="M27" s="107"/>
      <c r="N27" s="23"/>
      <c r="O27" s="16">
        <v>0</v>
      </c>
      <c r="P27" s="22"/>
      <c r="Q27" s="23"/>
      <c r="R27" s="91" t="s">
        <v>14</v>
      </c>
      <c r="S27" s="93"/>
      <c r="T27" s="23" t="str">
        <f t="shared" si="0"/>
        <v>CjVramMax0V95</v>
      </c>
      <c r="U27" s="111" t="s">
        <v>73</v>
      </c>
      <c r="V27" s="111"/>
      <c r="W27" s="111"/>
      <c r="X27" s="111"/>
      <c r="Y27" s="111"/>
      <c r="Z27" s="111"/>
      <c r="AA27" s="23"/>
      <c r="AB27" s="105">
        <v>0</v>
      </c>
      <c r="AC27" s="106"/>
      <c r="AD27" s="106"/>
      <c r="AE27" s="107"/>
      <c r="AF27" s="23"/>
      <c r="AG27" s="16">
        <v>1</v>
      </c>
      <c r="AH27" s="22"/>
      <c r="AI27" s="23"/>
      <c r="AJ27" s="1" t="s">
        <v>14</v>
      </c>
      <c r="AK27" s="23"/>
      <c r="AL27" s="1" t="str">
        <f t="shared" si="5"/>
        <v>PolL2Vdd_I5</v>
      </c>
      <c r="AM27" s="130" t="s">
        <v>297</v>
      </c>
      <c r="AN27" s="130"/>
      <c r="AO27" s="130"/>
      <c r="AP27" s="130"/>
      <c r="AQ27" s="130"/>
      <c r="AR27" s="130"/>
      <c r="AS27" s="23"/>
      <c r="AT27" s="105">
        <v>0</v>
      </c>
      <c r="AU27" s="106"/>
      <c r="AV27" s="106"/>
      <c r="AW27" s="107"/>
      <c r="AX27" s="23"/>
      <c r="AY27" s="16">
        <v>0</v>
      </c>
      <c r="AZ27" s="22"/>
      <c r="BA27" s="23"/>
      <c r="BB27" s="1" t="s">
        <v>0</v>
      </c>
      <c r="BC27" s="35"/>
      <c r="BD27" s="35">
        <f t="shared" si="9"/>
        <v>7</v>
      </c>
      <c r="BE27" s="35">
        <f t="shared" si="1"/>
        <v>13</v>
      </c>
      <c r="BF27" s="59">
        <f t="shared" si="6"/>
        <v>13</v>
      </c>
      <c r="BJ27" s="68" t="str">
        <f t="shared" si="7"/>
        <v>{Pex1V0, "PEX 1V0", 20, 1, 0, 0, 20, 19,"V"},</v>
      </c>
      <c r="BK27" s="35"/>
      <c r="BL27" s="23"/>
      <c r="BM27" s="23"/>
      <c r="BN27" s="35"/>
      <c r="BO27" s="35"/>
      <c r="BP27" s="35"/>
      <c r="BQ27" s="35"/>
      <c r="BR27" s="35"/>
      <c r="BS27" s="35"/>
      <c r="BT27" s="35"/>
      <c r="BU27" s="35"/>
      <c r="BV27" s="35"/>
      <c r="BW27" s="23"/>
      <c r="BX27" s="23"/>
      <c r="BY27" s="23"/>
      <c r="BZ27" s="35"/>
      <c r="CA27" s="23"/>
      <c r="CB27" s="35" t="str">
        <f t="shared" si="2"/>
        <v>{CjVramMax0V95, "CJ Vram max 0V95", 20, 28, 0, 1, 20, 46,"V"},</v>
      </c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35" t="str">
        <f t="shared" si="3"/>
        <v>{PolL2Vdd_I5, "POL L2 VDD_I5", 20, 55, 0, 0, 20, 73,"A"},</v>
      </c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36"/>
    </row>
    <row r="28" spans="1:106">
      <c r="A28">
        <v>21</v>
      </c>
      <c r="B28" s="34" t="str">
        <f t="shared" si="4"/>
        <v>RoboBrd1V2</v>
      </c>
      <c r="C28" s="111" t="s">
        <v>55</v>
      </c>
      <c r="D28" s="111"/>
      <c r="E28" s="111"/>
      <c r="F28" s="111"/>
      <c r="G28" s="111"/>
      <c r="H28" s="111"/>
      <c r="I28" s="23"/>
      <c r="J28" s="105">
        <v>0</v>
      </c>
      <c r="K28" s="106"/>
      <c r="L28" s="106"/>
      <c r="M28" s="107"/>
      <c r="N28" s="23"/>
      <c r="O28" s="16">
        <v>0</v>
      </c>
      <c r="P28" s="22"/>
      <c r="Q28" s="23"/>
      <c r="R28" s="91" t="s">
        <v>14</v>
      </c>
      <c r="S28" s="93"/>
      <c r="T28" s="23" t="str">
        <f t="shared" si="0"/>
        <v>CjVccaux1V8</v>
      </c>
      <c r="U28" s="111" t="s">
        <v>36</v>
      </c>
      <c r="V28" s="111"/>
      <c r="W28" s="111"/>
      <c r="X28" s="111"/>
      <c r="Y28" s="111"/>
      <c r="Z28" s="111"/>
      <c r="AA28" s="23"/>
      <c r="AB28" s="105">
        <v>0</v>
      </c>
      <c r="AC28" s="106"/>
      <c r="AD28" s="106"/>
      <c r="AE28" s="107"/>
      <c r="AF28" s="23"/>
      <c r="AG28" s="16">
        <v>0</v>
      </c>
      <c r="AH28" s="22"/>
      <c r="AI28" s="23"/>
      <c r="AJ28" s="1" t="s">
        <v>14</v>
      </c>
      <c r="AK28" s="23"/>
      <c r="AL28" s="1" t="str">
        <f t="shared" si="5"/>
        <v>PolL2Vdd_It</v>
      </c>
      <c r="AM28" s="130" t="s">
        <v>298</v>
      </c>
      <c r="AN28" s="130"/>
      <c r="AO28" s="130"/>
      <c r="AP28" s="130"/>
      <c r="AQ28" s="130"/>
      <c r="AR28" s="130"/>
      <c r="AS28" s="23"/>
      <c r="AT28" s="105">
        <v>0</v>
      </c>
      <c r="AU28" s="106"/>
      <c r="AV28" s="106"/>
      <c r="AW28" s="107"/>
      <c r="AX28" s="23"/>
      <c r="AY28" s="16">
        <v>0</v>
      </c>
      <c r="AZ28" s="22"/>
      <c r="BA28" s="23"/>
      <c r="BB28" s="1" t="s">
        <v>0</v>
      </c>
      <c r="BC28" s="35"/>
      <c r="BD28" s="35">
        <f t="shared" si="9"/>
        <v>12</v>
      </c>
      <c r="BE28" s="35">
        <f t="shared" si="1"/>
        <v>15</v>
      </c>
      <c r="BF28" s="59">
        <f t="shared" si="6"/>
        <v>13</v>
      </c>
      <c r="BJ28" s="68" t="str">
        <f t="shared" si="7"/>
        <v>{RoboBrd1V2, "Robo Brd 1V2", 21, 1, 0, 0, 21, 19,"V"},</v>
      </c>
      <c r="BK28" s="35"/>
      <c r="BL28" s="23"/>
      <c r="BM28" s="23"/>
      <c r="BN28" s="35"/>
      <c r="BO28" s="35"/>
      <c r="BP28" s="35"/>
      <c r="BQ28" s="35"/>
      <c r="BR28" s="35"/>
      <c r="BS28" s="35"/>
      <c r="BT28" s="35"/>
      <c r="BU28" s="35"/>
      <c r="BV28" s="35"/>
      <c r="BW28" s="23"/>
      <c r="BX28" s="23"/>
      <c r="BY28" s="23"/>
      <c r="BZ28" s="35"/>
      <c r="CA28" s="23"/>
      <c r="CB28" s="35" t="str">
        <f t="shared" si="2"/>
        <v>{CjVccaux1V8, "CJ Vccaux 1V8", 21, 28, 0, 0, 21, 46,"V"},</v>
      </c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35" t="str">
        <f t="shared" si="3"/>
        <v>{PolL2Vdd_It, "POL L2 VDD_It", 21, 55, 0, 0, 21, 73,"A"},</v>
      </c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36"/>
    </row>
    <row r="29" spans="1:106">
      <c r="A29">
        <v>22</v>
      </c>
      <c r="B29" s="34" t="str">
        <f t="shared" si="4"/>
        <v>Nco1V8</v>
      </c>
      <c r="C29" s="142" t="s">
        <v>52</v>
      </c>
      <c r="D29" s="142"/>
      <c r="E29" s="142"/>
      <c r="F29" s="142"/>
      <c r="G29" s="142"/>
      <c r="H29" s="142"/>
      <c r="I29" s="23"/>
      <c r="J29" s="105">
        <v>0</v>
      </c>
      <c r="K29" s="106"/>
      <c r="L29" s="106"/>
      <c r="M29" s="107"/>
      <c r="N29" s="23"/>
      <c r="O29" s="16">
        <v>0</v>
      </c>
      <c r="P29" s="22"/>
      <c r="Q29" s="23"/>
      <c r="R29" s="91" t="s">
        <v>14</v>
      </c>
      <c r="S29" s="93"/>
      <c r="T29" s="23" t="str">
        <f t="shared" si="0"/>
        <v>CjVauxMin1V8</v>
      </c>
      <c r="U29" s="111" t="s">
        <v>74</v>
      </c>
      <c r="V29" s="111"/>
      <c r="W29" s="111"/>
      <c r="X29" s="111"/>
      <c r="Y29" s="111"/>
      <c r="Z29" s="111"/>
      <c r="AA29" s="23"/>
      <c r="AB29" s="105">
        <v>0</v>
      </c>
      <c r="AC29" s="106"/>
      <c r="AD29" s="106"/>
      <c r="AE29" s="107"/>
      <c r="AF29" s="23"/>
      <c r="AG29" s="16">
        <v>0</v>
      </c>
      <c r="AH29" s="22"/>
      <c r="AI29" s="23"/>
      <c r="AJ29" s="1" t="s">
        <v>14</v>
      </c>
      <c r="AK29" s="23"/>
      <c r="AL29" s="1" t="str">
        <f t="shared" si="5"/>
        <v>L2Avdd1V0</v>
      </c>
      <c r="AM29" s="130" t="s">
        <v>28</v>
      </c>
      <c r="AN29" s="130"/>
      <c r="AO29" s="130"/>
      <c r="AP29" s="130"/>
      <c r="AQ29" s="130"/>
      <c r="AR29" s="130"/>
      <c r="AS29" s="23"/>
      <c r="AT29" s="105">
        <v>0</v>
      </c>
      <c r="AU29" s="106"/>
      <c r="AV29" s="106"/>
      <c r="AW29" s="107"/>
      <c r="AX29" s="23"/>
      <c r="AY29" s="16">
        <v>1</v>
      </c>
      <c r="AZ29" s="22"/>
      <c r="BA29" s="23"/>
      <c r="BB29" s="1" t="s">
        <v>14</v>
      </c>
      <c r="BC29" s="35"/>
      <c r="BD29" s="35">
        <f t="shared" si="9"/>
        <v>7</v>
      </c>
      <c r="BE29" s="35">
        <f t="shared" si="1"/>
        <v>15</v>
      </c>
      <c r="BF29" s="59">
        <f t="shared" si="6"/>
        <v>11</v>
      </c>
      <c r="BJ29" s="68" t="str">
        <f t="shared" si="7"/>
        <v>{Nco1V8, "NCO 1V8", 22, 1, 0, 0, 22, 19,"V"},</v>
      </c>
      <c r="BK29" s="35"/>
      <c r="BL29" s="23"/>
      <c r="BM29" s="23"/>
      <c r="BN29" s="35"/>
      <c r="BO29" s="35"/>
      <c r="BP29" s="35"/>
      <c r="BQ29" s="35"/>
      <c r="BR29" s="35"/>
      <c r="BS29" s="35"/>
      <c r="BT29" s="35"/>
      <c r="BU29" s="35"/>
      <c r="BV29" s="35"/>
      <c r="BW29" s="23"/>
      <c r="BX29" s="23"/>
      <c r="BY29" s="23"/>
      <c r="BZ29" s="35"/>
      <c r="CA29" s="23"/>
      <c r="CB29" s="35" t="str">
        <f t="shared" si="2"/>
        <v>{CjVauxMin1V8, "CJ Vaux min 1V8", 22, 28, 0, 0, 22, 46,"V"},</v>
      </c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35" t="str">
        <f t="shared" si="3"/>
        <v>{L2Avdd1V0, "L2 AVDD 1V0", 22, 55, 0, 1, 22, 73,"V"},</v>
      </c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36"/>
    </row>
    <row r="30" spans="1:106">
      <c r="A30">
        <v>23</v>
      </c>
      <c r="B30" s="34" t="str">
        <f t="shared" si="4"/>
        <v>CpBrd1V8</v>
      </c>
      <c r="C30" s="111" t="s">
        <v>251</v>
      </c>
      <c r="D30" s="111"/>
      <c r="E30" s="111"/>
      <c r="F30" s="111"/>
      <c r="G30" s="111"/>
      <c r="H30" s="111"/>
      <c r="I30" s="23"/>
      <c r="J30" s="105">
        <v>0</v>
      </c>
      <c r="K30" s="106"/>
      <c r="L30" s="106"/>
      <c r="M30" s="107"/>
      <c r="N30" s="23"/>
      <c r="O30" s="16">
        <v>0</v>
      </c>
      <c r="P30" s="22"/>
      <c r="Q30" s="23"/>
      <c r="R30" s="91" t="s">
        <v>14</v>
      </c>
      <c r="S30" s="93"/>
      <c r="T30" s="23" t="str">
        <f t="shared" si="0"/>
        <v>CjVauxMax1V8</v>
      </c>
      <c r="U30" s="111" t="s">
        <v>75</v>
      </c>
      <c r="V30" s="111"/>
      <c r="W30" s="111"/>
      <c r="X30" s="111"/>
      <c r="Y30" s="111"/>
      <c r="Z30" s="111"/>
      <c r="AA30" s="23"/>
      <c r="AB30" s="105">
        <v>0</v>
      </c>
      <c r="AC30" s="106"/>
      <c r="AD30" s="106"/>
      <c r="AE30" s="107"/>
      <c r="AF30" s="23"/>
      <c r="AG30" s="16">
        <v>0</v>
      </c>
      <c r="AH30" s="22"/>
      <c r="AI30" s="23"/>
      <c r="AJ30" s="1" t="s">
        <v>14</v>
      </c>
      <c r="AK30" s="23"/>
      <c r="AL30" s="1" t="str">
        <f t="shared" si="5"/>
        <v>PolL2Avdd_V</v>
      </c>
      <c r="AM30" s="130" t="s">
        <v>262</v>
      </c>
      <c r="AN30" s="130"/>
      <c r="AO30" s="130"/>
      <c r="AP30" s="130"/>
      <c r="AQ30" s="130"/>
      <c r="AR30" s="130"/>
      <c r="AS30" s="23"/>
      <c r="AT30" s="105">
        <v>0</v>
      </c>
      <c r="AU30" s="106"/>
      <c r="AV30" s="106"/>
      <c r="AW30" s="107"/>
      <c r="AX30" s="23"/>
      <c r="AY30" s="16">
        <v>1</v>
      </c>
      <c r="AZ30" s="22"/>
      <c r="BA30" s="23"/>
      <c r="BB30" s="1" t="s">
        <v>14</v>
      </c>
      <c r="BC30" s="35"/>
      <c r="BD30" s="35">
        <f>LEN(C31)</f>
        <v>7</v>
      </c>
      <c r="BE30" s="35">
        <f t="shared" si="1"/>
        <v>10</v>
      </c>
      <c r="BF30" s="59">
        <f t="shared" si="6"/>
        <v>13</v>
      </c>
      <c r="BJ30" s="68" t="str">
        <f t="shared" si="7"/>
        <v>{CpBrd1V8, "CP Brd 1V8", 23, 1, 0, 0, 23, 19,"V"},</v>
      </c>
      <c r="BK30" s="35"/>
      <c r="BL30" s="23"/>
      <c r="BM30" s="23"/>
      <c r="BN30" s="35"/>
      <c r="BO30" s="35"/>
      <c r="BP30" s="35"/>
      <c r="BQ30" s="35"/>
      <c r="BR30" s="35"/>
      <c r="BS30" s="35"/>
      <c r="BT30" s="35"/>
      <c r="BU30" s="35"/>
      <c r="BV30" s="35"/>
      <c r="BW30" s="23"/>
      <c r="BX30" s="23"/>
      <c r="BY30" s="23"/>
      <c r="BZ30" s="35"/>
      <c r="CA30" s="23"/>
      <c r="CB30" s="35" t="str">
        <f t="shared" si="2"/>
        <v>{CjVauxMax1V8, "CJ Vaux max 1V8", 23, 28, 0, 0, 23, 46,"V"},</v>
      </c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35" t="str">
        <f t="shared" si="3"/>
        <v>{PolL2Avdd_V, "POL L2 AVDD_V", 23, 55, 0, 1, 23, 73,"V"},</v>
      </c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36"/>
    </row>
    <row r="31" spans="1:106" ht="15" thickBot="1">
      <c r="A31">
        <v>24</v>
      </c>
      <c r="B31" s="54" t="str">
        <f>SUBSTITUTE(PROPER(C31)," ","")</f>
        <v>Brd2V5</v>
      </c>
      <c r="C31" s="118" t="s">
        <v>20</v>
      </c>
      <c r="D31" s="118"/>
      <c r="E31" s="118"/>
      <c r="F31" s="118"/>
      <c r="G31" s="118"/>
      <c r="H31" s="118"/>
      <c r="I31" s="37"/>
      <c r="J31" s="131">
        <v>0</v>
      </c>
      <c r="K31" s="132"/>
      <c r="L31" s="132"/>
      <c r="M31" s="133"/>
      <c r="N31" s="37"/>
      <c r="O31" s="86">
        <v>0</v>
      </c>
      <c r="P31" s="55"/>
      <c r="Q31" s="37"/>
      <c r="R31" s="92" t="s">
        <v>14</v>
      </c>
      <c r="S31" s="94"/>
      <c r="T31" s="37" t="str">
        <f t="shared" si="0"/>
        <v>CjMgt1V0</v>
      </c>
      <c r="U31" s="118" t="s">
        <v>50</v>
      </c>
      <c r="V31" s="118"/>
      <c r="W31" s="118"/>
      <c r="X31" s="118"/>
      <c r="Y31" s="118"/>
      <c r="Z31" s="118"/>
      <c r="AA31" s="37"/>
      <c r="AB31" s="131">
        <v>0</v>
      </c>
      <c r="AC31" s="132"/>
      <c r="AD31" s="132"/>
      <c r="AE31" s="133"/>
      <c r="AF31" s="37"/>
      <c r="AG31" s="86">
        <v>1</v>
      </c>
      <c r="AH31" s="55"/>
      <c r="AI31" s="37"/>
      <c r="AJ31" s="12" t="s">
        <v>14</v>
      </c>
      <c r="AK31" s="37"/>
      <c r="AL31" s="12" t="str">
        <f t="shared" si="5"/>
        <v>PolL2Avdd_I</v>
      </c>
      <c r="AM31" s="134" t="s">
        <v>263</v>
      </c>
      <c r="AN31" s="134"/>
      <c r="AO31" s="134"/>
      <c r="AP31" s="134"/>
      <c r="AQ31" s="134"/>
      <c r="AR31" s="134"/>
      <c r="AS31" s="37"/>
      <c r="AT31" s="131">
        <v>0</v>
      </c>
      <c r="AU31" s="132"/>
      <c r="AV31" s="132"/>
      <c r="AW31" s="133"/>
      <c r="AX31" s="37"/>
      <c r="AY31" s="86">
        <v>0</v>
      </c>
      <c r="AZ31" s="55"/>
      <c r="BA31" s="37"/>
      <c r="BB31" s="12" t="s">
        <v>0</v>
      </c>
      <c r="BC31" s="38"/>
      <c r="BD31" s="38">
        <f>LEN(U8)</f>
        <v>9</v>
      </c>
      <c r="BE31" s="35">
        <f t="shared" si="1"/>
        <v>8</v>
      </c>
      <c r="BF31" s="61">
        <f t="shared" si="6"/>
        <v>13</v>
      </c>
      <c r="BJ31" s="68" t="str">
        <f t="shared" si="7"/>
        <v>{Brd2V5, "Brd 2V5", 24, 1, 0, 0, 24, 19,"V"},</v>
      </c>
      <c r="BK31" s="35"/>
      <c r="BL31" s="23"/>
      <c r="BM31" s="23"/>
      <c r="BN31" s="35"/>
      <c r="BO31" s="35"/>
      <c r="BP31" s="35"/>
      <c r="BQ31" s="35"/>
      <c r="BR31" s="35"/>
      <c r="BS31" s="35"/>
      <c r="BT31" s="35"/>
      <c r="BU31" s="35"/>
      <c r="BV31" s="35"/>
      <c r="BW31" s="23"/>
      <c r="BX31" s="23"/>
      <c r="BY31" s="23"/>
      <c r="BZ31" s="35"/>
      <c r="CA31" s="23"/>
      <c r="CB31" s="35" t="str">
        <f t="shared" si="2"/>
        <v>{CjMgt1V0, "CJ MGT 1V0", 24, 28, 0, 1, 24, 46,"V"},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35" t="str">
        <f t="shared" si="3"/>
        <v>{PolL2Avdd_I, "POL L2 AVDD_I", 24, 55, 0, 0, 24, 73,"A"},</v>
      </c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36"/>
    </row>
    <row r="32" spans="1:106">
      <c r="A32">
        <v>25</v>
      </c>
      <c r="B32" s="30" t="str">
        <f>SUBSTITUTE(PROPER(C32)," ","")</f>
        <v>PolL2Vdd_T</v>
      </c>
      <c r="C32" s="148" t="s">
        <v>265</v>
      </c>
      <c r="D32" s="149"/>
      <c r="E32" s="149"/>
      <c r="F32" s="149"/>
      <c r="G32" s="149"/>
      <c r="H32" s="150"/>
      <c r="I32" s="31"/>
      <c r="J32" s="156">
        <v>1</v>
      </c>
      <c r="K32" s="156"/>
      <c r="L32" s="156"/>
      <c r="M32" s="156"/>
      <c r="N32" s="31"/>
      <c r="O32" s="52">
        <v>2</v>
      </c>
      <c r="P32" s="53"/>
      <c r="Q32" s="31"/>
      <c r="R32" s="7" t="s">
        <v>8</v>
      </c>
      <c r="S32" s="31"/>
      <c r="T32" s="31" t="str">
        <f>SUBSTITUTE(PROPER(U32)," ","")</f>
        <v>Psu1Vin</v>
      </c>
      <c r="U32" s="148" t="s">
        <v>76</v>
      </c>
      <c r="V32" s="149"/>
      <c r="W32" s="149"/>
      <c r="X32" s="149"/>
      <c r="Y32" s="149"/>
      <c r="Z32" s="150"/>
      <c r="AA32" s="31"/>
      <c r="AB32" s="156">
        <v>25</v>
      </c>
      <c r="AC32" s="156"/>
      <c r="AD32" s="156"/>
      <c r="AE32" s="156"/>
      <c r="AF32" s="31"/>
      <c r="AG32" s="52">
        <v>2</v>
      </c>
      <c r="AH32" s="53"/>
      <c r="AI32" s="31"/>
      <c r="AJ32" s="7" t="s">
        <v>14</v>
      </c>
      <c r="AK32" s="31"/>
      <c r="AL32" s="7" t="str">
        <f>SUBSTITUTE(PROPER(AM32)," ","")</f>
        <v>Psu2Vin</v>
      </c>
      <c r="AM32" s="148" t="s">
        <v>82</v>
      </c>
      <c r="AN32" s="149"/>
      <c r="AO32" s="149"/>
      <c r="AP32" s="149"/>
      <c r="AQ32" s="149"/>
      <c r="AR32" s="150"/>
      <c r="AS32" s="31"/>
      <c r="AT32" s="156">
        <v>49</v>
      </c>
      <c r="AU32" s="156"/>
      <c r="AV32" s="156"/>
      <c r="AW32" s="156"/>
      <c r="AX32" s="31"/>
      <c r="AY32" s="52">
        <v>2</v>
      </c>
      <c r="AZ32" s="53"/>
      <c r="BA32" s="31"/>
      <c r="BB32" s="7" t="s">
        <v>14</v>
      </c>
      <c r="BC32" s="32"/>
      <c r="BD32" s="32">
        <f>LEN(C32)</f>
        <v>12</v>
      </c>
      <c r="BE32" s="32">
        <f>LEN(U32)</f>
        <v>8</v>
      </c>
      <c r="BF32" s="58">
        <f>LEN(AM32)</f>
        <v>8</v>
      </c>
      <c r="BJ32" s="68" t="str">
        <f t="shared" si="7"/>
        <v>{PolL2Vdd_T, "POL L2 VDD_T", 25, 1, 0, 2, 25, 19,"C"},</v>
      </c>
      <c r="BK32" s="35"/>
      <c r="BL32" s="23"/>
      <c r="BM32" s="23"/>
      <c r="BN32" s="35"/>
      <c r="BO32" s="35"/>
      <c r="BP32" s="35"/>
      <c r="BQ32" s="35"/>
      <c r="BR32" s="35"/>
      <c r="BS32" s="35"/>
      <c r="BT32" s="35"/>
      <c r="BU32" s="35"/>
      <c r="BV32" s="35"/>
      <c r="BW32" s="23"/>
      <c r="BX32" s="23"/>
      <c r="BY32" s="23"/>
      <c r="BZ32" s="23"/>
      <c r="CA32" s="23"/>
      <c r="CB32" s="35" t="str">
        <f>("{"&amp;T32&amp;", "&amp;""""&amp;U32&amp;""""&amp;", "&amp;A32&amp;", "&amp;$U$7&amp;", "&amp;AB32&amp;", "&amp;AG32&amp;", "&amp;A32&amp;", "&amp;$AB$7&amp;","&amp;""""&amp;AJ32&amp;""""&amp;"},")</f>
        <v>{Psu1Vin, "PSU1 VIN", 25, 28, 25, 2, 25, 46,"V"},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35"/>
      <c r="CM32" s="23"/>
      <c r="CN32" s="23"/>
      <c r="CO32" s="23"/>
      <c r="CP32" s="35" t="str">
        <f>("{"&amp;AL32&amp;", "&amp;""""&amp;AM32&amp;""""&amp;", "&amp;A32&amp;", "&amp;$AM$7&amp;", "&amp;AT32&amp;", "&amp;AY32&amp;", "&amp;A32&amp;", "&amp;$AT$7&amp;","&amp;""""&amp;BB32&amp;""""&amp;"},")</f>
        <v>{Psu2Vin, "PSU2 VIN", 25, 55, 49, 2, 25, 73,"V"},</v>
      </c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36"/>
    </row>
    <row r="33" spans="1:106">
      <c r="A33">
        <v>26</v>
      </c>
      <c r="B33" s="34" t="str">
        <f t="shared" ref="B33:B55" si="10">SUBSTITUTE(PROPER(C33)," ","")</f>
        <v>PolVint1V0_T</v>
      </c>
      <c r="C33" s="145" t="s">
        <v>266</v>
      </c>
      <c r="D33" s="146"/>
      <c r="E33" s="146"/>
      <c r="F33" s="146"/>
      <c r="G33" s="146"/>
      <c r="H33" s="147"/>
      <c r="I33" s="23"/>
      <c r="J33" s="155">
        <v>2</v>
      </c>
      <c r="K33" s="155"/>
      <c r="L33" s="155"/>
      <c r="M33" s="155"/>
      <c r="N33" s="23"/>
      <c r="O33" s="16">
        <v>2</v>
      </c>
      <c r="P33" s="22"/>
      <c r="Q33" s="23"/>
      <c r="R33" s="1" t="s">
        <v>8</v>
      </c>
      <c r="S33" s="23"/>
      <c r="T33" s="23" t="str">
        <f t="shared" ref="T33:T53" si="11">SUBSTITUTE(PROPER(U33)," ","")</f>
        <v>Psu1Iin</v>
      </c>
      <c r="U33" s="145" t="s">
        <v>77</v>
      </c>
      <c r="V33" s="146"/>
      <c r="W33" s="146"/>
      <c r="X33" s="146"/>
      <c r="Y33" s="146"/>
      <c r="Z33" s="147"/>
      <c r="AA33" s="23"/>
      <c r="AB33" s="155">
        <v>26</v>
      </c>
      <c r="AC33" s="155"/>
      <c r="AD33" s="155"/>
      <c r="AE33" s="155"/>
      <c r="AF33" s="23"/>
      <c r="AG33" s="16">
        <v>0</v>
      </c>
      <c r="AH33" s="22"/>
      <c r="AI33" s="23"/>
      <c r="AJ33" s="1" t="s">
        <v>0</v>
      </c>
      <c r="AK33" s="23"/>
      <c r="AL33" s="1" t="str">
        <f t="shared" ref="AL33:AL53" si="12">SUBSTITUTE(PROPER(AM33)," ","")</f>
        <v>Psu2Iin</v>
      </c>
      <c r="AM33" s="145" t="s">
        <v>83</v>
      </c>
      <c r="AN33" s="146"/>
      <c r="AO33" s="146"/>
      <c r="AP33" s="146"/>
      <c r="AQ33" s="146"/>
      <c r="AR33" s="147"/>
      <c r="AS33" s="23"/>
      <c r="AT33" s="155">
        <v>50</v>
      </c>
      <c r="AU33" s="155"/>
      <c r="AV33" s="155"/>
      <c r="AW33" s="155"/>
      <c r="AX33" s="23"/>
      <c r="AY33" s="16">
        <v>0</v>
      </c>
      <c r="AZ33" s="22"/>
      <c r="BA33" s="23"/>
      <c r="BB33" s="1" t="s">
        <v>0</v>
      </c>
      <c r="BC33" s="35"/>
      <c r="BD33" s="35">
        <f t="shared" ref="BD33:BD55" si="13">LEN(C33)</f>
        <v>14</v>
      </c>
      <c r="BE33" s="35">
        <f t="shared" ref="BE33:BE55" si="14">LEN(U33)</f>
        <v>8</v>
      </c>
      <c r="BF33" s="59">
        <f t="shared" ref="BF33:BF55" si="15">LEN(AM33)</f>
        <v>8</v>
      </c>
      <c r="BJ33" s="68" t="str">
        <f t="shared" si="7"/>
        <v>{PolVint1V0_T, "POL VINT 1V0_T", 26, 1, 0, 2, 26, 19,"C"},</v>
      </c>
      <c r="BK33" s="35"/>
      <c r="BL33" s="23"/>
      <c r="BM33" s="23"/>
      <c r="BN33" s="35"/>
      <c r="BO33" s="35"/>
      <c r="BP33" s="35"/>
      <c r="BQ33" s="35"/>
      <c r="BR33" s="35"/>
      <c r="BS33" s="35"/>
      <c r="BT33" s="35"/>
      <c r="BU33" s="35"/>
      <c r="BV33" s="35"/>
      <c r="BW33" s="23"/>
      <c r="BX33" s="23"/>
      <c r="BY33" s="23"/>
      <c r="BZ33" s="23"/>
      <c r="CA33" s="23"/>
      <c r="CB33" s="35" t="str">
        <f t="shared" ref="CB33:CB55" si="16">("{"&amp;T33&amp;", "&amp;""""&amp;U33&amp;""""&amp;", "&amp;A33&amp;", "&amp;$U$7&amp;", "&amp;AB33&amp;", "&amp;AG33&amp;", "&amp;A33&amp;", "&amp;$AB$7&amp;","&amp;""""&amp;AJ33&amp;""""&amp;"},")</f>
        <v>{Psu1Iin, "PSU1 IIN", 26, 28, 26, 0, 26, 46,"A"},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35"/>
      <c r="CM33" s="23"/>
      <c r="CN33" s="23"/>
      <c r="CO33" s="23"/>
      <c r="CP33" s="35" t="str">
        <f t="shared" ref="CP33:CP55" si="17">("{"&amp;AL33&amp;", "&amp;""""&amp;AM33&amp;""""&amp;", "&amp;A33&amp;", "&amp;$AM$7&amp;", "&amp;AT33&amp;", "&amp;AY33&amp;", "&amp;A33&amp;", "&amp;$AT$7&amp;","&amp;""""&amp;BB33&amp;""""&amp;"},")</f>
        <v>{Psu2Iin, "PSU2 IIN", 26, 55, 50, 0, 26, 73,"A"},</v>
      </c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36"/>
    </row>
    <row r="34" spans="1:106">
      <c r="A34">
        <v>27</v>
      </c>
      <c r="B34" s="34" t="str">
        <f t="shared" si="10"/>
        <v>BrdLocal1_T</v>
      </c>
      <c r="C34" s="145" t="s">
        <v>267</v>
      </c>
      <c r="D34" s="146"/>
      <c r="E34" s="146"/>
      <c r="F34" s="146"/>
      <c r="G34" s="146"/>
      <c r="H34" s="147"/>
      <c r="I34" s="23"/>
      <c r="J34" s="155">
        <v>3</v>
      </c>
      <c r="K34" s="155"/>
      <c r="L34" s="155"/>
      <c r="M34" s="155"/>
      <c r="N34" s="23"/>
      <c r="O34" s="16">
        <v>2</v>
      </c>
      <c r="P34" s="22"/>
      <c r="Q34" s="23"/>
      <c r="R34" s="1" t="s">
        <v>8</v>
      </c>
      <c r="S34" s="23"/>
      <c r="T34" s="23" t="str">
        <f t="shared" si="11"/>
        <v>Psu1Pin</v>
      </c>
      <c r="U34" s="145" t="s">
        <v>80</v>
      </c>
      <c r="V34" s="146"/>
      <c r="W34" s="146"/>
      <c r="X34" s="146"/>
      <c r="Y34" s="146"/>
      <c r="Z34" s="147"/>
      <c r="AA34" s="23"/>
      <c r="AB34" s="155">
        <v>27</v>
      </c>
      <c r="AC34" s="155"/>
      <c r="AD34" s="155"/>
      <c r="AE34" s="155"/>
      <c r="AF34" s="23"/>
      <c r="AG34" s="16">
        <v>2</v>
      </c>
      <c r="AH34" s="22"/>
      <c r="AI34" s="23"/>
      <c r="AJ34" s="1" t="s">
        <v>88</v>
      </c>
      <c r="AK34" s="23"/>
      <c r="AL34" s="1" t="str">
        <f t="shared" si="12"/>
        <v>Psu2Pin</v>
      </c>
      <c r="AM34" s="145" t="s">
        <v>86</v>
      </c>
      <c r="AN34" s="146"/>
      <c r="AO34" s="146"/>
      <c r="AP34" s="146"/>
      <c r="AQ34" s="146"/>
      <c r="AR34" s="147"/>
      <c r="AS34" s="23"/>
      <c r="AT34" s="155">
        <v>51</v>
      </c>
      <c r="AU34" s="155"/>
      <c r="AV34" s="155"/>
      <c r="AW34" s="155"/>
      <c r="AX34" s="23"/>
      <c r="AY34" s="16">
        <v>2</v>
      </c>
      <c r="AZ34" s="22"/>
      <c r="BA34" s="23"/>
      <c r="BB34" s="1" t="s">
        <v>88</v>
      </c>
      <c r="BC34" s="35"/>
      <c r="BD34" s="35">
        <f t="shared" si="13"/>
        <v>13</v>
      </c>
      <c r="BE34" s="35">
        <f t="shared" si="14"/>
        <v>8</v>
      </c>
      <c r="BF34" s="59">
        <f t="shared" si="15"/>
        <v>8</v>
      </c>
      <c r="BJ34" s="68" t="str">
        <f t="shared" si="7"/>
        <v>{BrdLocal1_T, "Brd Local 1_T", 27, 1, 0, 2, 27, 19,"C"},</v>
      </c>
      <c r="BK34" s="35"/>
      <c r="BL34" s="23"/>
      <c r="BM34" s="23"/>
      <c r="BN34" s="35"/>
      <c r="BO34" s="35"/>
      <c r="BP34" s="35"/>
      <c r="BQ34" s="35"/>
      <c r="BR34" s="35"/>
      <c r="BS34" s="35"/>
      <c r="BT34" s="35"/>
      <c r="BU34" s="35"/>
      <c r="BV34" s="35"/>
      <c r="BW34" s="23"/>
      <c r="BX34" s="23"/>
      <c r="BY34" s="23"/>
      <c r="BZ34" s="23"/>
      <c r="CA34" s="23"/>
      <c r="CB34" s="35" t="str">
        <f t="shared" si="16"/>
        <v>{Psu1Pin, "PSU1 PIN", 27, 28, 27, 2, 27, 46,"W"},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35"/>
      <c r="CM34" s="23"/>
      <c r="CN34" s="23"/>
      <c r="CO34" s="23"/>
      <c r="CP34" s="35" t="str">
        <f t="shared" si="17"/>
        <v>{Psu2Pin, "PSU2 PIN", 27, 55, 51, 2, 27, 73,"W"},</v>
      </c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36"/>
    </row>
    <row r="35" spans="1:106">
      <c r="A35">
        <v>28</v>
      </c>
      <c r="B35" s="34" t="str">
        <f t="shared" si="10"/>
        <v>CpDieRmt_T</v>
      </c>
      <c r="C35" s="145" t="s">
        <v>316</v>
      </c>
      <c r="D35" s="146"/>
      <c r="E35" s="146"/>
      <c r="F35" s="146"/>
      <c r="G35" s="146"/>
      <c r="H35" s="147"/>
      <c r="I35" s="23"/>
      <c r="J35" s="155">
        <v>4</v>
      </c>
      <c r="K35" s="155"/>
      <c r="L35" s="155"/>
      <c r="M35" s="155"/>
      <c r="N35" s="23"/>
      <c r="O35" s="16">
        <v>2</v>
      </c>
      <c r="P35" s="22"/>
      <c r="Q35" s="23"/>
      <c r="R35" s="1" t="s">
        <v>8</v>
      </c>
      <c r="S35" s="23"/>
      <c r="T35" s="23" t="str">
        <f t="shared" si="11"/>
        <v>Psu1Vout</v>
      </c>
      <c r="U35" s="145" t="s">
        <v>81</v>
      </c>
      <c r="V35" s="146"/>
      <c r="W35" s="146"/>
      <c r="X35" s="146"/>
      <c r="Y35" s="146"/>
      <c r="Z35" s="147"/>
      <c r="AA35" s="23"/>
      <c r="AB35" s="155">
        <v>28</v>
      </c>
      <c r="AC35" s="155"/>
      <c r="AD35" s="155"/>
      <c r="AE35" s="155"/>
      <c r="AF35" s="23"/>
      <c r="AG35" s="16">
        <v>0</v>
      </c>
      <c r="AH35" s="22"/>
      <c r="AI35" s="23"/>
      <c r="AJ35" s="1" t="s">
        <v>14</v>
      </c>
      <c r="AK35" s="23"/>
      <c r="AL35" s="1" t="str">
        <f t="shared" si="12"/>
        <v>Psu2Vout</v>
      </c>
      <c r="AM35" s="145" t="s">
        <v>87</v>
      </c>
      <c r="AN35" s="146"/>
      <c r="AO35" s="146"/>
      <c r="AP35" s="146"/>
      <c r="AQ35" s="146"/>
      <c r="AR35" s="147"/>
      <c r="AS35" s="23"/>
      <c r="AT35" s="155">
        <v>52</v>
      </c>
      <c r="AU35" s="155"/>
      <c r="AV35" s="155"/>
      <c r="AW35" s="155"/>
      <c r="AX35" s="23"/>
      <c r="AY35" s="16">
        <v>0</v>
      </c>
      <c r="AZ35" s="22"/>
      <c r="BA35" s="23"/>
      <c r="BB35" s="1" t="s">
        <v>14</v>
      </c>
      <c r="BC35" s="35"/>
      <c r="BD35" s="35">
        <f t="shared" si="13"/>
        <v>12</v>
      </c>
      <c r="BE35" s="35">
        <f t="shared" si="14"/>
        <v>9</v>
      </c>
      <c r="BF35" s="59">
        <f t="shared" si="15"/>
        <v>9</v>
      </c>
      <c r="BJ35" s="68" t="str">
        <f t="shared" si="7"/>
        <v>{CpDieRmt_T, "CP Die Rmt_T", 28, 1, 0, 2, 28, 19,"C"},</v>
      </c>
      <c r="BK35" s="35"/>
      <c r="BL35" s="23"/>
      <c r="BM35" s="23"/>
      <c r="BN35" s="35"/>
      <c r="BO35" s="35"/>
      <c r="BP35" s="35"/>
      <c r="BQ35" s="35"/>
      <c r="BR35" s="35"/>
      <c r="BS35" s="35"/>
      <c r="BT35" s="35"/>
      <c r="BU35" s="35"/>
      <c r="BV35" s="35"/>
      <c r="BW35" s="23"/>
      <c r="BX35" s="23"/>
      <c r="BY35" s="23"/>
      <c r="BZ35" s="23"/>
      <c r="CA35" s="23"/>
      <c r="CB35" s="35" t="str">
        <f t="shared" si="16"/>
        <v>{Psu1Vout, "PSU1 VOUT", 28, 28, 28, 0, 28, 46,"V"},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35"/>
      <c r="CM35" s="23"/>
      <c r="CN35" s="23"/>
      <c r="CO35" s="23"/>
      <c r="CP35" s="35" t="str">
        <f t="shared" si="17"/>
        <v>{Psu2Vout, "PSU2 VOUT", 28, 55, 52, 0, 28, 73,"V"},</v>
      </c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36"/>
    </row>
    <row r="36" spans="1:106">
      <c r="A36">
        <v>29</v>
      </c>
      <c r="B36" s="34" t="str">
        <f t="shared" si="10"/>
        <v>CpXadcDie_T</v>
      </c>
      <c r="C36" s="145" t="s">
        <v>317</v>
      </c>
      <c r="D36" s="146"/>
      <c r="E36" s="146"/>
      <c r="F36" s="146"/>
      <c r="G36" s="146"/>
      <c r="H36" s="147"/>
      <c r="I36" s="23"/>
      <c r="J36" s="155">
        <v>5</v>
      </c>
      <c r="K36" s="155"/>
      <c r="L36" s="155"/>
      <c r="M36" s="155"/>
      <c r="N36" s="23"/>
      <c r="O36" s="16">
        <v>2</v>
      </c>
      <c r="P36" s="22"/>
      <c r="Q36" s="23"/>
      <c r="R36" s="1" t="s">
        <v>8</v>
      </c>
      <c r="S36" s="23"/>
      <c r="T36" s="23" t="str">
        <f t="shared" si="11"/>
        <v>Psu1Iout</v>
      </c>
      <c r="U36" s="145" t="s">
        <v>78</v>
      </c>
      <c r="V36" s="146"/>
      <c r="W36" s="146"/>
      <c r="X36" s="146"/>
      <c r="Y36" s="146"/>
      <c r="Z36" s="147"/>
      <c r="AA36" s="23"/>
      <c r="AB36" s="155">
        <v>29</v>
      </c>
      <c r="AC36" s="155"/>
      <c r="AD36" s="155"/>
      <c r="AE36" s="155"/>
      <c r="AF36" s="23"/>
      <c r="AG36" s="16">
        <v>0</v>
      </c>
      <c r="AH36" s="22"/>
      <c r="AI36" s="23"/>
      <c r="AJ36" s="1" t="s">
        <v>0</v>
      </c>
      <c r="AK36" s="23"/>
      <c r="AL36" s="1" t="str">
        <f t="shared" si="12"/>
        <v>Psu2Iout</v>
      </c>
      <c r="AM36" s="145" t="s">
        <v>84</v>
      </c>
      <c r="AN36" s="146"/>
      <c r="AO36" s="146"/>
      <c r="AP36" s="146"/>
      <c r="AQ36" s="146"/>
      <c r="AR36" s="147"/>
      <c r="AS36" s="23"/>
      <c r="AT36" s="155">
        <v>53</v>
      </c>
      <c r="AU36" s="155"/>
      <c r="AV36" s="155"/>
      <c r="AW36" s="155"/>
      <c r="AX36" s="23"/>
      <c r="AY36" s="16">
        <v>0</v>
      </c>
      <c r="AZ36" s="22"/>
      <c r="BA36" s="23"/>
      <c r="BB36" s="1" t="s">
        <v>0</v>
      </c>
      <c r="BC36" s="35"/>
      <c r="BD36" s="35">
        <f t="shared" si="13"/>
        <v>13</v>
      </c>
      <c r="BE36" s="35">
        <f t="shared" si="14"/>
        <v>9</v>
      </c>
      <c r="BF36" s="59">
        <f t="shared" si="15"/>
        <v>9</v>
      </c>
      <c r="BJ36" s="68" t="str">
        <f t="shared" si="7"/>
        <v>{CpXadcDie_T, "CP XADC Die_T", 29, 1, 0, 2, 29, 19,"C"},</v>
      </c>
      <c r="BK36" s="35"/>
      <c r="BL36" s="23"/>
      <c r="BM36" s="23"/>
      <c r="BN36" s="35"/>
      <c r="BO36" s="35"/>
      <c r="BP36" s="35"/>
      <c r="BQ36" s="35"/>
      <c r="BR36" s="35"/>
      <c r="BS36" s="35"/>
      <c r="BT36" s="35"/>
      <c r="BU36" s="35"/>
      <c r="BV36" s="35"/>
      <c r="BW36" s="23"/>
      <c r="BX36" s="23"/>
      <c r="BY36" s="23"/>
      <c r="BZ36" s="23"/>
      <c r="CA36" s="23"/>
      <c r="CB36" s="35" t="str">
        <f t="shared" si="16"/>
        <v>{Psu1Iout, "PSU1 IOUT", 29, 28, 29, 0, 29, 46,"A"},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35"/>
      <c r="CM36" s="23"/>
      <c r="CN36" s="23"/>
      <c r="CO36" s="23"/>
      <c r="CP36" s="35" t="str">
        <f t="shared" si="17"/>
        <v>{Psu2Iout, "PSU2 IOUT", 29, 55, 53, 0, 29, 73,"A"},</v>
      </c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36"/>
    </row>
    <row r="37" spans="1:106">
      <c r="A37">
        <v>30</v>
      </c>
      <c r="B37" s="34" t="str">
        <f t="shared" si="10"/>
        <v>CpAdcMinDie_T</v>
      </c>
      <c r="C37" s="145" t="s">
        <v>318</v>
      </c>
      <c r="D37" s="146"/>
      <c r="E37" s="146"/>
      <c r="F37" s="146"/>
      <c r="G37" s="146"/>
      <c r="H37" s="147"/>
      <c r="I37" s="23"/>
      <c r="J37" s="155">
        <v>6</v>
      </c>
      <c r="K37" s="155"/>
      <c r="L37" s="155"/>
      <c r="M37" s="155"/>
      <c r="N37" s="23"/>
      <c r="O37" s="16">
        <v>2</v>
      </c>
      <c r="P37" s="22"/>
      <c r="Q37" s="23"/>
      <c r="R37" s="1" t="s">
        <v>8</v>
      </c>
      <c r="S37" s="23"/>
      <c r="T37" s="23" t="str">
        <f t="shared" si="11"/>
        <v>Psu1Pout</v>
      </c>
      <c r="U37" s="145" t="s">
        <v>79</v>
      </c>
      <c r="V37" s="146"/>
      <c r="W37" s="146"/>
      <c r="X37" s="146"/>
      <c r="Y37" s="146"/>
      <c r="Z37" s="147"/>
      <c r="AA37" s="23"/>
      <c r="AB37" s="155">
        <v>30</v>
      </c>
      <c r="AC37" s="155"/>
      <c r="AD37" s="155"/>
      <c r="AE37" s="155"/>
      <c r="AF37" s="23"/>
      <c r="AG37" s="16">
        <v>2</v>
      </c>
      <c r="AH37" s="22"/>
      <c r="AI37" s="23"/>
      <c r="AJ37" s="1" t="s">
        <v>88</v>
      </c>
      <c r="AK37" s="23"/>
      <c r="AL37" s="1" t="str">
        <f t="shared" si="12"/>
        <v>Psu2Pout</v>
      </c>
      <c r="AM37" s="145" t="s">
        <v>85</v>
      </c>
      <c r="AN37" s="146"/>
      <c r="AO37" s="146"/>
      <c r="AP37" s="146"/>
      <c r="AQ37" s="146"/>
      <c r="AR37" s="147"/>
      <c r="AS37" s="23"/>
      <c r="AT37" s="155">
        <v>54</v>
      </c>
      <c r="AU37" s="155"/>
      <c r="AV37" s="155"/>
      <c r="AW37" s="155"/>
      <c r="AX37" s="23"/>
      <c r="AY37" s="16">
        <v>2</v>
      </c>
      <c r="AZ37" s="22"/>
      <c r="BA37" s="23"/>
      <c r="BB37" s="1" t="s">
        <v>88</v>
      </c>
      <c r="BC37" s="35"/>
      <c r="BD37" s="35">
        <f t="shared" si="13"/>
        <v>16</v>
      </c>
      <c r="BE37" s="35">
        <f t="shared" si="14"/>
        <v>9</v>
      </c>
      <c r="BF37" s="59">
        <f t="shared" si="15"/>
        <v>9</v>
      </c>
      <c r="BJ37" s="68" t="str">
        <f t="shared" si="7"/>
        <v>{CpAdcMinDie_T, "CP ADC Min Die_T", 30, 1, 0, 2, 30, 19,"C"},</v>
      </c>
      <c r="BK37" s="35"/>
      <c r="BL37" s="23"/>
      <c r="BM37" s="23"/>
      <c r="BN37" s="35"/>
      <c r="BO37" s="35"/>
      <c r="BP37" s="35"/>
      <c r="BQ37" s="35"/>
      <c r="BR37" s="35"/>
      <c r="BS37" s="35"/>
      <c r="BT37" s="35"/>
      <c r="BU37" s="35"/>
      <c r="BV37" s="35"/>
      <c r="BW37" s="23"/>
      <c r="BX37" s="23"/>
      <c r="BY37" s="23"/>
      <c r="BZ37" s="23"/>
      <c r="CA37" s="23"/>
      <c r="CB37" s="35" t="str">
        <f t="shared" si="16"/>
        <v>{Psu1Pout, "PSU1 POUT", 30, 28, 30, 2, 30, 46,"W"},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35"/>
      <c r="CM37" s="23"/>
      <c r="CN37" s="23"/>
      <c r="CO37" s="23"/>
      <c r="CP37" s="35" t="str">
        <f t="shared" si="17"/>
        <v>{Psu2Pout, "PSU2 POUT", 30, 55, 54, 2, 30, 73,"W"},</v>
      </c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36"/>
    </row>
    <row r="38" spans="1:106">
      <c r="A38">
        <v>31</v>
      </c>
      <c r="B38" s="34" t="str">
        <f t="shared" si="10"/>
        <v>CpAdcMaxDie_T</v>
      </c>
      <c r="C38" s="145" t="s">
        <v>319</v>
      </c>
      <c r="D38" s="146"/>
      <c r="E38" s="146"/>
      <c r="F38" s="146"/>
      <c r="G38" s="146"/>
      <c r="H38" s="147"/>
      <c r="I38" s="23"/>
      <c r="J38" s="155">
        <v>7</v>
      </c>
      <c r="K38" s="155"/>
      <c r="L38" s="155"/>
      <c r="M38" s="155"/>
      <c r="N38" s="23"/>
      <c r="O38" s="16">
        <v>2</v>
      </c>
      <c r="P38" s="22"/>
      <c r="Q38" s="23"/>
      <c r="R38" s="1" t="s">
        <v>8</v>
      </c>
      <c r="S38" s="23"/>
      <c r="T38" s="60" t="str">
        <f t="shared" si="11"/>
        <v>Def1</v>
      </c>
      <c r="U38" s="145" t="s">
        <v>434</v>
      </c>
      <c r="V38" s="146"/>
      <c r="W38" s="146"/>
      <c r="X38" s="146"/>
      <c r="Y38" s="146"/>
      <c r="Z38" s="147"/>
      <c r="AA38" s="23"/>
      <c r="AB38" s="155">
        <v>31</v>
      </c>
      <c r="AC38" s="155"/>
      <c r="AD38" s="155"/>
      <c r="AE38" s="155"/>
      <c r="AF38" s="23"/>
      <c r="AG38" s="16">
        <v>2</v>
      </c>
      <c r="AH38" s="22"/>
      <c r="AI38" s="23"/>
      <c r="AJ38" s="1" t="s">
        <v>8</v>
      </c>
      <c r="AK38" s="23"/>
      <c r="AL38" s="96" t="str">
        <f t="shared" si="12"/>
        <v>Abc1</v>
      </c>
      <c r="AM38" s="145" t="s">
        <v>429</v>
      </c>
      <c r="AN38" s="146"/>
      <c r="AO38" s="146"/>
      <c r="AP38" s="146"/>
      <c r="AQ38" s="146"/>
      <c r="AR38" s="147"/>
      <c r="AS38" s="23"/>
      <c r="AT38" s="155">
        <v>55</v>
      </c>
      <c r="AU38" s="155"/>
      <c r="AV38" s="155"/>
      <c r="AW38" s="155"/>
      <c r="AX38" s="23"/>
      <c r="AY38" s="16">
        <v>2</v>
      </c>
      <c r="AZ38" s="22"/>
      <c r="BA38" s="23"/>
      <c r="BB38" s="1" t="s">
        <v>8</v>
      </c>
      <c r="BC38" s="35"/>
      <c r="BD38" s="35">
        <f t="shared" si="13"/>
        <v>16</v>
      </c>
      <c r="BE38" s="35">
        <f t="shared" si="14"/>
        <v>4</v>
      </c>
      <c r="BF38" s="59">
        <f t="shared" si="15"/>
        <v>4</v>
      </c>
      <c r="BJ38" s="68" t="str">
        <f t="shared" si="7"/>
        <v>{CpAdcMaxDie_T, "CP ADC Max Die_T", 31, 1, 0, 2, 31, 19,"C"},</v>
      </c>
      <c r="BK38" s="35"/>
      <c r="BL38" s="23"/>
      <c r="BM38" s="23"/>
      <c r="BN38" s="35"/>
      <c r="BO38" s="35"/>
      <c r="BP38" s="35"/>
      <c r="BQ38" s="35"/>
      <c r="BR38" s="35"/>
      <c r="BS38" s="35"/>
      <c r="BT38" s="35"/>
      <c r="BU38" s="35"/>
      <c r="BV38" s="35"/>
      <c r="BW38" s="23"/>
      <c r="BX38" s="23"/>
      <c r="BY38" s="23"/>
      <c r="BZ38" s="23"/>
      <c r="CA38" s="23"/>
      <c r="CB38" s="35" t="str">
        <f t="shared" si="16"/>
        <v>{Def1, "def1", 31, 28, 31, 2, 31, 46,"C"},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35"/>
      <c r="CM38" s="23"/>
      <c r="CN38" s="23"/>
      <c r="CO38" s="23"/>
      <c r="CP38" s="35" t="str">
        <f t="shared" si="17"/>
        <v>{Abc1, "abc1", 31, 55, 55, 2, 31, 73,"C"},</v>
      </c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36"/>
    </row>
    <row r="39" spans="1:106" ht="15" thickBot="1">
      <c r="A39">
        <v>32</v>
      </c>
      <c r="B39" s="54" t="str">
        <f t="shared" si="10"/>
        <v>BrdLocal2_T</v>
      </c>
      <c r="C39" s="151" t="s">
        <v>268</v>
      </c>
      <c r="D39" s="152"/>
      <c r="E39" s="152"/>
      <c r="F39" s="152"/>
      <c r="G39" s="152"/>
      <c r="H39" s="153"/>
      <c r="I39" s="37"/>
      <c r="J39" s="157">
        <v>8</v>
      </c>
      <c r="K39" s="157"/>
      <c r="L39" s="157"/>
      <c r="M39" s="157"/>
      <c r="N39" s="37"/>
      <c r="O39" s="86">
        <v>2</v>
      </c>
      <c r="P39" s="55"/>
      <c r="Q39" s="37"/>
      <c r="R39" s="12" t="s">
        <v>8</v>
      </c>
      <c r="S39" s="37"/>
      <c r="T39" s="64" t="str">
        <f t="shared" si="11"/>
        <v>Def2</v>
      </c>
      <c r="U39" s="151" t="s">
        <v>435</v>
      </c>
      <c r="V39" s="152"/>
      <c r="W39" s="152"/>
      <c r="X39" s="152"/>
      <c r="Y39" s="152"/>
      <c r="Z39" s="153"/>
      <c r="AA39" s="37"/>
      <c r="AB39" s="157">
        <v>32</v>
      </c>
      <c r="AC39" s="157"/>
      <c r="AD39" s="157"/>
      <c r="AE39" s="157"/>
      <c r="AF39" s="37"/>
      <c r="AG39" s="86">
        <v>2</v>
      </c>
      <c r="AH39" s="55"/>
      <c r="AI39" s="37"/>
      <c r="AJ39" s="12" t="s">
        <v>8</v>
      </c>
      <c r="AK39" s="37"/>
      <c r="AL39" s="98" t="str">
        <f t="shared" si="12"/>
        <v>Abc2</v>
      </c>
      <c r="AM39" s="151" t="s">
        <v>430</v>
      </c>
      <c r="AN39" s="152"/>
      <c r="AO39" s="152"/>
      <c r="AP39" s="152"/>
      <c r="AQ39" s="152"/>
      <c r="AR39" s="153"/>
      <c r="AS39" s="37"/>
      <c r="AT39" s="157">
        <v>56</v>
      </c>
      <c r="AU39" s="157"/>
      <c r="AV39" s="157"/>
      <c r="AW39" s="157"/>
      <c r="AX39" s="37"/>
      <c r="AY39" s="86">
        <v>2</v>
      </c>
      <c r="AZ39" s="55"/>
      <c r="BA39" s="37"/>
      <c r="BB39" s="12" t="s">
        <v>8</v>
      </c>
      <c r="BC39" s="38"/>
      <c r="BD39" s="38">
        <f t="shared" si="13"/>
        <v>13</v>
      </c>
      <c r="BE39" s="38">
        <f t="shared" si="14"/>
        <v>4</v>
      </c>
      <c r="BF39" s="61">
        <f t="shared" si="15"/>
        <v>4</v>
      </c>
      <c r="BJ39" s="68" t="str">
        <f t="shared" si="7"/>
        <v>{BrdLocal2_T, "Brd Local 2_T", 32, 1, 0, 2, 32, 19,"C"},</v>
      </c>
      <c r="BK39" s="35"/>
      <c r="BL39" s="23"/>
      <c r="BM39" s="23"/>
      <c r="BN39" s="35"/>
      <c r="BO39" s="35"/>
      <c r="BP39" s="35"/>
      <c r="BQ39" s="35"/>
      <c r="BR39" s="35"/>
      <c r="BS39" s="35"/>
      <c r="BT39" s="35"/>
      <c r="BU39" s="35"/>
      <c r="BV39" s="35"/>
      <c r="BW39" s="23"/>
      <c r="BX39" s="23"/>
      <c r="BY39" s="23"/>
      <c r="BZ39" s="23"/>
      <c r="CA39" s="23"/>
      <c r="CB39" s="35" t="str">
        <f t="shared" si="16"/>
        <v>{Def2, "def2", 32, 28, 32, 2, 32, 46,"C"},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35"/>
      <c r="CM39" s="23"/>
      <c r="CN39" s="23"/>
      <c r="CO39" s="23"/>
      <c r="CP39" s="35" t="str">
        <f t="shared" si="17"/>
        <v>{Abc2, "abc2", 32, 55, 56, 2, 32, 73,"C"},</v>
      </c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36"/>
    </row>
    <row r="40" spans="1:106">
      <c r="A40">
        <v>33</v>
      </c>
      <c r="B40" s="30" t="str">
        <f t="shared" si="10"/>
        <v>CjDieRmt_T</v>
      </c>
      <c r="C40" s="148" t="s">
        <v>419</v>
      </c>
      <c r="D40" s="149"/>
      <c r="E40" s="149"/>
      <c r="F40" s="149"/>
      <c r="G40" s="149"/>
      <c r="H40" s="150"/>
      <c r="I40" s="31"/>
      <c r="J40" s="156">
        <v>9</v>
      </c>
      <c r="K40" s="156"/>
      <c r="L40" s="156"/>
      <c r="M40" s="156"/>
      <c r="N40" s="31"/>
      <c r="O40" s="52">
        <v>2</v>
      </c>
      <c r="P40" s="53"/>
      <c r="Q40" s="31"/>
      <c r="R40" s="7" t="s">
        <v>8</v>
      </c>
      <c r="S40" s="31"/>
      <c r="T40" s="62" t="str">
        <f t="shared" si="11"/>
        <v>Def3</v>
      </c>
      <c r="U40" s="148" t="s">
        <v>436</v>
      </c>
      <c r="V40" s="149"/>
      <c r="W40" s="149"/>
      <c r="X40" s="149"/>
      <c r="Y40" s="149"/>
      <c r="Z40" s="150"/>
      <c r="AA40" s="31"/>
      <c r="AB40" s="156">
        <v>33</v>
      </c>
      <c r="AC40" s="156"/>
      <c r="AD40" s="156"/>
      <c r="AE40" s="156"/>
      <c r="AF40" s="31"/>
      <c r="AG40" s="52">
        <v>2</v>
      </c>
      <c r="AH40" s="53"/>
      <c r="AI40" s="31"/>
      <c r="AJ40" s="7" t="s">
        <v>8</v>
      </c>
      <c r="AK40" s="31"/>
      <c r="AL40" s="99" t="str">
        <f t="shared" si="12"/>
        <v>Abc3</v>
      </c>
      <c r="AM40" s="148" t="s">
        <v>431</v>
      </c>
      <c r="AN40" s="149"/>
      <c r="AO40" s="149"/>
      <c r="AP40" s="149"/>
      <c r="AQ40" s="149"/>
      <c r="AR40" s="150"/>
      <c r="AS40" s="31"/>
      <c r="AT40" s="156">
        <v>57</v>
      </c>
      <c r="AU40" s="156"/>
      <c r="AV40" s="156"/>
      <c r="AW40" s="156"/>
      <c r="AX40" s="31"/>
      <c r="AY40" s="52">
        <v>2</v>
      </c>
      <c r="AZ40" s="53"/>
      <c r="BA40" s="31"/>
      <c r="BB40" s="7" t="s">
        <v>8</v>
      </c>
      <c r="BC40" s="32"/>
      <c r="BD40" s="32">
        <f t="shared" si="13"/>
        <v>12</v>
      </c>
      <c r="BE40" s="32">
        <f t="shared" si="14"/>
        <v>4</v>
      </c>
      <c r="BF40" s="58">
        <f t="shared" si="15"/>
        <v>4</v>
      </c>
      <c r="BJ40" s="68" t="str">
        <f t="shared" si="7"/>
        <v>{CjDieRmt_T, "CJ Die Rmt_T", 33, 1, 0, 2, 33, 19,"C"},</v>
      </c>
      <c r="BK40" s="35"/>
      <c r="BL40" s="23"/>
      <c r="BM40" s="23"/>
      <c r="BN40" s="35"/>
      <c r="BO40" s="35"/>
      <c r="BP40" s="35"/>
      <c r="BQ40" s="35"/>
      <c r="BR40" s="35"/>
      <c r="BS40" s="35"/>
      <c r="BT40" s="35"/>
      <c r="BU40" s="35"/>
      <c r="BV40" s="35"/>
      <c r="BW40" s="23"/>
      <c r="BX40" s="23"/>
      <c r="BY40" s="23"/>
      <c r="BZ40" s="23"/>
      <c r="CA40" s="23"/>
      <c r="CB40" s="35" t="str">
        <f t="shared" si="16"/>
        <v>{Def3, "def3", 33, 28, 33, 2, 33, 46,"C"},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35"/>
      <c r="CM40" s="23"/>
      <c r="CN40" s="23"/>
      <c r="CO40" s="23"/>
      <c r="CP40" s="35" t="str">
        <f t="shared" si="17"/>
        <v>{Abc3, "abc3", 33, 55, 57, 2, 33, 73,"C"},</v>
      </c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36"/>
    </row>
    <row r="41" spans="1:106">
      <c r="A41">
        <v>34</v>
      </c>
      <c r="B41" s="34" t="str">
        <f t="shared" si="10"/>
        <v>CjXadcDie_T</v>
      </c>
      <c r="C41" s="145" t="s">
        <v>320</v>
      </c>
      <c r="D41" s="146"/>
      <c r="E41" s="146"/>
      <c r="F41" s="146"/>
      <c r="G41" s="146"/>
      <c r="H41" s="147"/>
      <c r="I41" s="23"/>
      <c r="J41" s="155">
        <v>10</v>
      </c>
      <c r="K41" s="155"/>
      <c r="L41" s="155"/>
      <c r="M41" s="155"/>
      <c r="N41" s="23"/>
      <c r="O41" s="16">
        <v>2</v>
      </c>
      <c r="P41" s="22"/>
      <c r="Q41" s="23"/>
      <c r="R41" s="1" t="s">
        <v>8</v>
      </c>
      <c r="S41" s="23"/>
      <c r="T41" s="63" t="str">
        <f t="shared" si="11"/>
        <v>Psu1FanSpd</v>
      </c>
      <c r="U41" s="145" t="s">
        <v>89</v>
      </c>
      <c r="V41" s="146"/>
      <c r="W41" s="146"/>
      <c r="X41" s="146"/>
      <c r="Y41" s="146"/>
      <c r="Z41" s="147"/>
      <c r="AA41" s="23"/>
      <c r="AB41" s="155">
        <v>34</v>
      </c>
      <c r="AC41" s="155"/>
      <c r="AD41" s="155"/>
      <c r="AE41" s="155"/>
      <c r="AF41" s="23"/>
      <c r="AG41" s="16">
        <v>3</v>
      </c>
      <c r="AH41" s="22"/>
      <c r="AI41" s="23"/>
      <c r="AJ41" s="1" t="s">
        <v>15</v>
      </c>
      <c r="AK41" s="23"/>
      <c r="AL41" s="1" t="str">
        <f t="shared" si="12"/>
        <v>Psu2FanSpd</v>
      </c>
      <c r="AM41" s="145" t="s">
        <v>90</v>
      </c>
      <c r="AN41" s="146"/>
      <c r="AO41" s="146"/>
      <c r="AP41" s="146"/>
      <c r="AQ41" s="146"/>
      <c r="AR41" s="147"/>
      <c r="AS41" s="23"/>
      <c r="AT41" s="155">
        <v>58</v>
      </c>
      <c r="AU41" s="155"/>
      <c r="AV41" s="155"/>
      <c r="AW41" s="155"/>
      <c r="AX41" s="23"/>
      <c r="AY41" s="16">
        <v>3</v>
      </c>
      <c r="AZ41" s="22"/>
      <c r="BA41" s="23"/>
      <c r="BB41" s="1" t="s">
        <v>15</v>
      </c>
      <c r="BC41" s="35"/>
      <c r="BD41" s="35">
        <f t="shared" si="13"/>
        <v>13</v>
      </c>
      <c r="BE41" s="35">
        <f t="shared" si="14"/>
        <v>12</v>
      </c>
      <c r="BF41" s="59">
        <f t="shared" si="15"/>
        <v>12</v>
      </c>
      <c r="BJ41" s="68" t="str">
        <f t="shared" si="7"/>
        <v>{CjXadcDie_T, "CJ XADC Die_T", 34, 1, 0, 2, 34, 19,"C"},</v>
      </c>
      <c r="BK41" s="35"/>
      <c r="BL41" s="23"/>
      <c r="BM41" s="23"/>
      <c r="BN41" s="35"/>
      <c r="BO41" s="35"/>
      <c r="BP41" s="35"/>
      <c r="BQ41" s="35"/>
      <c r="BR41" s="35"/>
      <c r="BS41" s="35"/>
      <c r="BT41" s="35"/>
      <c r="BU41" s="35"/>
      <c r="BV41" s="35"/>
      <c r="BW41" s="23"/>
      <c r="BX41" s="23"/>
      <c r="BY41" s="23"/>
      <c r="BZ41" s="23"/>
      <c r="CA41" s="23"/>
      <c r="CB41" s="35" t="str">
        <f t="shared" si="16"/>
        <v>{Psu1FanSpd, "PSU1 FAN SPD", 34, 28, 34, 3, 34, 46,"R"},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35"/>
      <c r="CM41" s="23"/>
      <c r="CN41" s="23"/>
      <c r="CO41" s="23"/>
      <c r="CP41" s="35" t="str">
        <f t="shared" si="17"/>
        <v>{Psu2FanSpd, "PSU2 FAN SPD", 34, 55, 58, 3, 34, 73,"R"},</v>
      </c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36"/>
    </row>
    <row r="42" spans="1:106">
      <c r="A42">
        <v>35</v>
      </c>
      <c r="B42" s="34" t="str">
        <f t="shared" si="10"/>
        <v>CjAdcMinDie_T</v>
      </c>
      <c r="C42" s="145" t="s">
        <v>321</v>
      </c>
      <c r="D42" s="146"/>
      <c r="E42" s="146"/>
      <c r="F42" s="146"/>
      <c r="G42" s="146"/>
      <c r="H42" s="147"/>
      <c r="I42" s="23"/>
      <c r="J42" s="155">
        <v>11</v>
      </c>
      <c r="K42" s="155"/>
      <c r="L42" s="155"/>
      <c r="M42" s="155"/>
      <c r="N42" s="23"/>
      <c r="O42" s="16">
        <v>2</v>
      </c>
      <c r="P42" s="22"/>
      <c r="Q42" s="23"/>
      <c r="R42" s="1" t="s">
        <v>8</v>
      </c>
      <c r="S42" s="23"/>
      <c r="T42" s="63" t="str">
        <f t="shared" si="11"/>
        <v>Psu1Efficiency</v>
      </c>
      <c r="U42" s="145" t="s">
        <v>326</v>
      </c>
      <c r="V42" s="146"/>
      <c r="W42" s="146"/>
      <c r="X42" s="146"/>
      <c r="Y42" s="146"/>
      <c r="Z42" s="147"/>
      <c r="AA42" s="23"/>
      <c r="AB42" s="155">
        <v>35</v>
      </c>
      <c r="AC42" s="155"/>
      <c r="AD42" s="155"/>
      <c r="AE42" s="155"/>
      <c r="AF42" s="23"/>
      <c r="AG42" s="16">
        <v>0</v>
      </c>
      <c r="AH42" s="22"/>
      <c r="AI42" s="23"/>
      <c r="AJ42" s="1" t="s">
        <v>327</v>
      </c>
      <c r="AK42" s="23"/>
      <c r="AL42" s="1" t="str">
        <f t="shared" si="12"/>
        <v>Psu2Efficiency</v>
      </c>
      <c r="AM42" s="145" t="s">
        <v>420</v>
      </c>
      <c r="AN42" s="146"/>
      <c r="AO42" s="146"/>
      <c r="AP42" s="146"/>
      <c r="AQ42" s="146"/>
      <c r="AR42" s="147"/>
      <c r="AS42" s="23"/>
      <c r="AT42" s="155">
        <v>59</v>
      </c>
      <c r="AU42" s="155"/>
      <c r="AV42" s="155"/>
      <c r="AW42" s="155"/>
      <c r="AX42" s="23"/>
      <c r="AY42" s="16">
        <v>0</v>
      </c>
      <c r="AZ42" s="22"/>
      <c r="BA42" s="23"/>
      <c r="BB42" s="1" t="s">
        <v>327</v>
      </c>
      <c r="BC42" s="35"/>
      <c r="BD42" s="35">
        <f t="shared" si="13"/>
        <v>16</v>
      </c>
      <c r="BE42" s="35">
        <f t="shared" si="14"/>
        <v>15</v>
      </c>
      <c r="BF42" s="59">
        <f t="shared" si="15"/>
        <v>15</v>
      </c>
      <c r="BJ42" s="68" t="str">
        <f t="shared" si="7"/>
        <v>{CjAdcMinDie_T, "CJ ADC Min Die_T", 35, 1, 0, 2, 35, 19,"C"},</v>
      </c>
      <c r="BK42" s="35"/>
      <c r="BL42" s="23"/>
      <c r="BM42" s="23"/>
      <c r="BN42" s="35"/>
      <c r="BO42" s="35"/>
      <c r="BP42" s="35"/>
      <c r="BQ42" s="35"/>
      <c r="BR42" s="35"/>
      <c r="BS42" s="35"/>
      <c r="BT42" s="35"/>
      <c r="BU42" s="35"/>
      <c r="BV42" s="35"/>
      <c r="BW42" s="23"/>
      <c r="BX42" s="23"/>
      <c r="BY42" s="23"/>
      <c r="BZ42" s="23"/>
      <c r="CA42" s="23"/>
      <c r="CB42" s="35" t="str">
        <f t="shared" si="16"/>
        <v>{Psu1Efficiency, "PSU1 Efficiency", 35, 28, 35, 0, 35, 46,"%"},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35"/>
      <c r="CM42" s="23"/>
      <c r="CN42" s="23"/>
      <c r="CO42" s="23"/>
      <c r="CP42" s="35" t="str">
        <f t="shared" si="17"/>
        <v>{Psu2Efficiency, "PSU2 Efficiency", 35, 55, 59, 0, 35, 73,"%"},</v>
      </c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36"/>
    </row>
    <row r="43" spans="1:106">
      <c r="A43">
        <v>36</v>
      </c>
      <c r="B43" s="34" t="str">
        <f t="shared" si="10"/>
        <v>CjAdcMaxDie_T</v>
      </c>
      <c r="C43" s="145" t="s">
        <v>322</v>
      </c>
      <c r="D43" s="146"/>
      <c r="E43" s="146"/>
      <c r="F43" s="146"/>
      <c r="G43" s="146"/>
      <c r="H43" s="147"/>
      <c r="I43" s="23"/>
      <c r="J43" s="155">
        <v>12</v>
      </c>
      <c r="K43" s="155"/>
      <c r="L43" s="155"/>
      <c r="M43" s="155"/>
      <c r="N43" s="23"/>
      <c r="O43" s="16">
        <v>2</v>
      </c>
      <c r="P43" s="22"/>
      <c r="Q43" s="23"/>
      <c r="R43" s="1" t="s">
        <v>8</v>
      </c>
      <c r="S43" s="23"/>
      <c r="T43" s="23" t="str">
        <f t="shared" si="11"/>
        <v>Cu1FanSpd1</v>
      </c>
      <c r="U43" s="145" t="s">
        <v>91</v>
      </c>
      <c r="V43" s="146"/>
      <c r="W43" s="146"/>
      <c r="X43" s="146"/>
      <c r="Y43" s="146"/>
      <c r="Z43" s="147"/>
      <c r="AA43" s="23"/>
      <c r="AB43" s="155">
        <v>36</v>
      </c>
      <c r="AC43" s="155"/>
      <c r="AD43" s="155"/>
      <c r="AE43" s="155"/>
      <c r="AF43" s="23"/>
      <c r="AG43" s="16">
        <v>3</v>
      </c>
      <c r="AH43" s="22"/>
      <c r="AI43" s="23"/>
      <c r="AJ43" s="1" t="s">
        <v>15</v>
      </c>
      <c r="AK43" s="23"/>
      <c r="AL43" s="1" t="str">
        <f t="shared" si="12"/>
        <v>Cu2FanSpd1</v>
      </c>
      <c r="AM43" s="145" t="s">
        <v>102</v>
      </c>
      <c r="AN43" s="146"/>
      <c r="AO43" s="146"/>
      <c r="AP43" s="146"/>
      <c r="AQ43" s="146"/>
      <c r="AR43" s="147"/>
      <c r="AS43" s="23"/>
      <c r="AT43" s="155">
        <v>60</v>
      </c>
      <c r="AU43" s="155"/>
      <c r="AV43" s="155"/>
      <c r="AW43" s="155"/>
      <c r="AX43" s="23"/>
      <c r="AY43" s="16">
        <v>3</v>
      </c>
      <c r="AZ43" s="22"/>
      <c r="BA43" s="23"/>
      <c r="BB43" s="1" t="s">
        <v>15</v>
      </c>
      <c r="BC43" s="35"/>
      <c r="BD43" s="35">
        <f t="shared" si="13"/>
        <v>16</v>
      </c>
      <c r="BE43" s="35">
        <f t="shared" si="14"/>
        <v>13</v>
      </c>
      <c r="BF43" s="59">
        <f t="shared" si="15"/>
        <v>13</v>
      </c>
      <c r="BJ43" s="68" t="str">
        <f t="shared" si="7"/>
        <v>{CjAdcMaxDie_T, "CJ ADC Max Die_T", 36, 1, 0, 2, 36, 19,"C"},</v>
      </c>
      <c r="BK43" s="35"/>
      <c r="BL43" s="23"/>
      <c r="BM43" s="23"/>
      <c r="BN43" s="35"/>
      <c r="BO43" s="35"/>
      <c r="BP43" s="35"/>
      <c r="BQ43" s="35"/>
      <c r="BR43" s="35"/>
      <c r="BS43" s="35"/>
      <c r="BT43" s="35"/>
      <c r="BU43" s="35"/>
      <c r="BV43" s="35"/>
      <c r="BW43" s="23"/>
      <c r="BX43" s="23"/>
      <c r="BY43" s="23"/>
      <c r="BZ43" s="23"/>
      <c r="CA43" s="23"/>
      <c r="CB43" s="35" t="str">
        <f t="shared" si="16"/>
        <v>{Cu1FanSpd1, "CU1 Fan Spd 1", 36, 28, 36, 3, 36, 46,"R"},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35"/>
      <c r="CM43" s="23"/>
      <c r="CN43" s="23"/>
      <c r="CO43" s="23"/>
      <c r="CP43" s="35" t="str">
        <f t="shared" si="17"/>
        <v>{Cu2FanSpd1, "CU2 Fan Spd 1", 36, 55, 60, 3, 36, 73,"R"},</v>
      </c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36"/>
    </row>
    <row r="44" spans="1:106">
      <c r="A44">
        <v>37</v>
      </c>
      <c r="B44" s="34" t="str">
        <f t="shared" si="10"/>
        <v>BrdLocal3_T</v>
      </c>
      <c r="C44" s="145" t="s">
        <v>269</v>
      </c>
      <c r="D44" s="146"/>
      <c r="E44" s="146"/>
      <c r="F44" s="146"/>
      <c r="G44" s="146"/>
      <c r="H44" s="147"/>
      <c r="I44" s="23"/>
      <c r="J44" s="155">
        <v>13</v>
      </c>
      <c r="K44" s="155"/>
      <c r="L44" s="155"/>
      <c r="M44" s="155"/>
      <c r="N44" s="23"/>
      <c r="O44" s="16">
        <v>2</v>
      </c>
      <c r="P44" s="22"/>
      <c r="Q44" s="23"/>
      <c r="R44" s="1" t="s">
        <v>8</v>
      </c>
      <c r="S44" s="23"/>
      <c r="T44" s="23" t="str">
        <f t="shared" si="11"/>
        <v>Cu1FanSpd2</v>
      </c>
      <c r="U44" s="145" t="s">
        <v>93</v>
      </c>
      <c r="V44" s="146"/>
      <c r="W44" s="146"/>
      <c r="X44" s="146"/>
      <c r="Y44" s="146"/>
      <c r="Z44" s="147"/>
      <c r="AA44" s="23"/>
      <c r="AB44" s="155">
        <v>37</v>
      </c>
      <c r="AC44" s="155"/>
      <c r="AD44" s="155"/>
      <c r="AE44" s="155"/>
      <c r="AF44" s="23"/>
      <c r="AG44" s="16">
        <v>3</v>
      </c>
      <c r="AH44" s="22"/>
      <c r="AI44" s="23"/>
      <c r="AJ44" s="1" t="s">
        <v>15</v>
      </c>
      <c r="AK44" s="23"/>
      <c r="AL44" s="1" t="str">
        <f t="shared" si="12"/>
        <v>Cu2FanSpd2</v>
      </c>
      <c r="AM44" s="145" t="s">
        <v>103</v>
      </c>
      <c r="AN44" s="146"/>
      <c r="AO44" s="146"/>
      <c r="AP44" s="146"/>
      <c r="AQ44" s="146"/>
      <c r="AR44" s="147"/>
      <c r="AS44" s="23"/>
      <c r="AT44" s="155">
        <v>61</v>
      </c>
      <c r="AU44" s="155"/>
      <c r="AV44" s="155"/>
      <c r="AW44" s="155"/>
      <c r="AX44" s="23"/>
      <c r="AY44" s="16">
        <v>3</v>
      </c>
      <c r="AZ44" s="22"/>
      <c r="BA44" s="23"/>
      <c r="BB44" s="1" t="s">
        <v>15</v>
      </c>
      <c r="BC44" s="35"/>
      <c r="BD44" s="35">
        <f t="shared" si="13"/>
        <v>13</v>
      </c>
      <c r="BE44" s="35">
        <f t="shared" si="14"/>
        <v>13</v>
      </c>
      <c r="BF44" s="59">
        <f t="shared" si="15"/>
        <v>13</v>
      </c>
      <c r="BJ44" s="68" t="str">
        <f t="shared" si="7"/>
        <v>{BrdLocal3_T, "Brd Local 3_T", 37, 1, 0, 2, 37, 19,"C"},</v>
      </c>
      <c r="BK44" s="35"/>
      <c r="BL44" s="23"/>
      <c r="BM44" s="23"/>
      <c r="BN44" s="35"/>
      <c r="BO44" s="35"/>
      <c r="BP44" s="35"/>
      <c r="BQ44" s="35"/>
      <c r="BR44" s="35"/>
      <c r="BS44" s="35"/>
      <c r="BT44" s="35"/>
      <c r="BU44" s="35"/>
      <c r="BV44" s="35"/>
      <c r="BW44" s="23"/>
      <c r="BX44" s="23"/>
      <c r="BY44" s="23"/>
      <c r="BZ44" s="23"/>
      <c r="CA44" s="23"/>
      <c r="CB44" s="35" t="str">
        <f t="shared" si="16"/>
        <v>{Cu1FanSpd2, "CU1 Fan Spd 2", 37, 28, 37, 3, 37, 46,"R"},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35"/>
      <c r="CM44" s="23"/>
      <c r="CN44" s="23"/>
      <c r="CO44" s="23"/>
      <c r="CP44" s="35" t="str">
        <f t="shared" si="17"/>
        <v>{Cu2FanSpd2, "CU2 Fan Spd 2", 37, 55, 61, 3, 37, 73,"R"},</v>
      </c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36"/>
    </row>
    <row r="45" spans="1:106">
      <c r="A45">
        <v>38</v>
      </c>
      <c r="B45" s="34" t="str">
        <f t="shared" si="10"/>
        <v>L2DieRmt_T</v>
      </c>
      <c r="C45" s="145" t="s">
        <v>418</v>
      </c>
      <c r="D45" s="146"/>
      <c r="E45" s="146"/>
      <c r="F45" s="146"/>
      <c r="G45" s="146"/>
      <c r="H45" s="147"/>
      <c r="I45" s="23"/>
      <c r="J45" s="155">
        <v>14</v>
      </c>
      <c r="K45" s="155"/>
      <c r="L45" s="155"/>
      <c r="M45" s="155"/>
      <c r="N45" s="23"/>
      <c r="O45" s="16">
        <v>2</v>
      </c>
      <c r="P45" s="22"/>
      <c r="Q45" s="23"/>
      <c r="R45" s="1" t="s">
        <v>8</v>
      </c>
      <c r="S45" s="23"/>
      <c r="T45" s="23" t="str">
        <f t="shared" si="11"/>
        <v>Cu1FanSpd3</v>
      </c>
      <c r="U45" s="145" t="s">
        <v>94</v>
      </c>
      <c r="V45" s="146"/>
      <c r="W45" s="146"/>
      <c r="X45" s="146"/>
      <c r="Y45" s="146"/>
      <c r="Z45" s="147"/>
      <c r="AA45" s="23"/>
      <c r="AB45" s="155">
        <v>38</v>
      </c>
      <c r="AC45" s="155"/>
      <c r="AD45" s="155"/>
      <c r="AE45" s="155"/>
      <c r="AF45" s="23"/>
      <c r="AG45" s="16">
        <v>3</v>
      </c>
      <c r="AH45" s="22"/>
      <c r="AI45" s="23"/>
      <c r="AJ45" s="1" t="s">
        <v>15</v>
      </c>
      <c r="AK45" s="23"/>
      <c r="AL45" s="1" t="str">
        <f t="shared" si="12"/>
        <v>Cu2FanSpd3</v>
      </c>
      <c r="AM45" s="145" t="s">
        <v>104</v>
      </c>
      <c r="AN45" s="146"/>
      <c r="AO45" s="146"/>
      <c r="AP45" s="146"/>
      <c r="AQ45" s="146"/>
      <c r="AR45" s="147"/>
      <c r="AS45" s="23"/>
      <c r="AT45" s="155">
        <v>62</v>
      </c>
      <c r="AU45" s="155"/>
      <c r="AV45" s="155"/>
      <c r="AW45" s="155"/>
      <c r="AX45" s="23"/>
      <c r="AY45" s="16">
        <v>3</v>
      </c>
      <c r="AZ45" s="22"/>
      <c r="BA45" s="23"/>
      <c r="BB45" s="1" t="s">
        <v>15</v>
      </c>
      <c r="BC45" s="35"/>
      <c r="BD45" s="35">
        <f t="shared" si="13"/>
        <v>12</v>
      </c>
      <c r="BE45" s="35">
        <f t="shared" si="14"/>
        <v>13</v>
      </c>
      <c r="BF45" s="59">
        <f t="shared" si="15"/>
        <v>13</v>
      </c>
      <c r="BJ45" s="68" t="str">
        <f t="shared" si="7"/>
        <v>{L2DieRmt_T, "L2 Die Rmt_T", 38, 1, 0, 2, 38, 19,"C"},</v>
      </c>
      <c r="BK45" s="35"/>
      <c r="BL45" s="23"/>
      <c r="BM45" s="23"/>
      <c r="BN45" s="35"/>
      <c r="BO45" s="35"/>
      <c r="BP45" s="35"/>
      <c r="BQ45" s="35"/>
      <c r="BR45" s="35"/>
      <c r="BS45" s="35"/>
      <c r="BT45" s="35"/>
      <c r="BU45" s="35"/>
      <c r="BV45" s="35"/>
      <c r="BW45" s="23"/>
      <c r="BX45" s="23"/>
      <c r="BY45" s="23"/>
      <c r="BZ45" s="23"/>
      <c r="CA45" s="23"/>
      <c r="CB45" s="35" t="str">
        <f t="shared" si="16"/>
        <v>{Cu1FanSpd3, "CU1 Fan Spd 3", 38, 28, 38, 3, 38, 46,"R"},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35"/>
      <c r="CM45" s="23"/>
      <c r="CN45" s="23"/>
      <c r="CO45" s="23"/>
      <c r="CP45" s="35" t="str">
        <f t="shared" si="17"/>
        <v>{Cu2FanSpd3, "CU2 Fan Spd 3", 38, 55, 62, 3, 38, 73,"R"},</v>
      </c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36"/>
    </row>
    <row r="46" spans="1:106">
      <c r="A46">
        <v>39</v>
      </c>
      <c r="B46" s="34" t="str">
        <f t="shared" si="10"/>
        <v>Def1</v>
      </c>
      <c r="C46" s="145" t="str">
        <f>U38</f>
        <v>def1</v>
      </c>
      <c r="D46" s="146"/>
      <c r="E46" s="146"/>
      <c r="F46" s="146"/>
      <c r="G46" s="146"/>
      <c r="H46" s="147"/>
      <c r="I46" s="23"/>
      <c r="J46" s="155">
        <v>15</v>
      </c>
      <c r="K46" s="155"/>
      <c r="L46" s="155"/>
      <c r="M46" s="155"/>
      <c r="N46" s="23"/>
      <c r="O46" s="16">
        <v>2</v>
      </c>
      <c r="P46" s="22"/>
      <c r="Q46" s="23"/>
      <c r="R46" s="1" t="s">
        <v>8</v>
      </c>
      <c r="S46" s="23"/>
      <c r="T46" s="23" t="str">
        <f t="shared" si="11"/>
        <v>Cu1FanSpd4</v>
      </c>
      <c r="U46" s="145" t="s">
        <v>95</v>
      </c>
      <c r="V46" s="146"/>
      <c r="W46" s="146"/>
      <c r="X46" s="146"/>
      <c r="Y46" s="146"/>
      <c r="Z46" s="147"/>
      <c r="AA46" s="23"/>
      <c r="AB46" s="155">
        <v>39</v>
      </c>
      <c r="AC46" s="155"/>
      <c r="AD46" s="155"/>
      <c r="AE46" s="155"/>
      <c r="AF46" s="23"/>
      <c r="AG46" s="16">
        <v>3</v>
      </c>
      <c r="AH46" s="22"/>
      <c r="AI46" s="23"/>
      <c r="AJ46" s="1" t="s">
        <v>15</v>
      </c>
      <c r="AK46" s="23"/>
      <c r="AL46" s="1" t="str">
        <f t="shared" si="12"/>
        <v>Cu2FanSpd4</v>
      </c>
      <c r="AM46" s="145" t="s">
        <v>105</v>
      </c>
      <c r="AN46" s="146"/>
      <c r="AO46" s="146"/>
      <c r="AP46" s="146"/>
      <c r="AQ46" s="146"/>
      <c r="AR46" s="147"/>
      <c r="AS46" s="23"/>
      <c r="AT46" s="155">
        <v>63</v>
      </c>
      <c r="AU46" s="155"/>
      <c r="AV46" s="155"/>
      <c r="AW46" s="155"/>
      <c r="AX46" s="23"/>
      <c r="AY46" s="16">
        <v>3</v>
      </c>
      <c r="AZ46" s="22"/>
      <c r="BA46" s="23"/>
      <c r="BB46" s="1" t="s">
        <v>15</v>
      </c>
      <c r="BC46" s="35"/>
      <c r="BD46" s="35">
        <f t="shared" si="13"/>
        <v>4</v>
      </c>
      <c r="BE46" s="35">
        <f t="shared" si="14"/>
        <v>13</v>
      </c>
      <c r="BF46" s="59">
        <f t="shared" si="15"/>
        <v>13</v>
      </c>
      <c r="BJ46" s="68" t="str">
        <f t="shared" si="7"/>
        <v>{Def1, "def1", 39, 1, 0, 2, 39, 19,"C"},</v>
      </c>
      <c r="BK46" s="35"/>
      <c r="BL46" s="23"/>
      <c r="BM46" s="23"/>
      <c r="BN46" s="35"/>
      <c r="BO46" s="35"/>
      <c r="BP46" s="35"/>
      <c r="BQ46" s="35"/>
      <c r="BR46" s="35"/>
      <c r="BS46" s="35"/>
      <c r="BT46" s="35"/>
      <c r="BU46" s="35"/>
      <c r="BV46" s="35"/>
      <c r="BW46" s="23"/>
      <c r="BX46" s="23"/>
      <c r="BY46" s="23"/>
      <c r="BZ46" s="23"/>
      <c r="CA46" s="23"/>
      <c r="CB46" s="35" t="str">
        <f t="shared" si="16"/>
        <v>{Cu1FanSpd4, "CU1 Fan Spd 4", 39, 28, 39, 3, 39, 46,"R"},</v>
      </c>
      <c r="CC46" s="23"/>
      <c r="CD46" s="23"/>
      <c r="CE46" s="23"/>
      <c r="CF46" s="23"/>
      <c r="CG46" s="23"/>
      <c r="CH46" s="23"/>
      <c r="CI46" s="23"/>
      <c r="CJ46" s="23"/>
      <c r="CK46" s="23"/>
      <c r="CL46" s="35"/>
      <c r="CM46" s="23"/>
      <c r="CN46" s="23"/>
      <c r="CO46" s="23"/>
      <c r="CP46" s="35" t="str">
        <f t="shared" si="17"/>
        <v>{Cu2FanSpd4, "CU2 Fan Spd 4", 39, 55, 63, 3, 39, 73,"R"},</v>
      </c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36"/>
    </row>
    <row r="47" spans="1:106" ht="15" thickBot="1">
      <c r="A47">
        <v>40</v>
      </c>
      <c r="B47" s="54" t="str">
        <f t="shared" si="10"/>
        <v>Def2</v>
      </c>
      <c r="C47" s="151" t="str">
        <f>U39</f>
        <v>def2</v>
      </c>
      <c r="D47" s="152"/>
      <c r="E47" s="152"/>
      <c r="F47" s="152"/>
      <c r="G47" s="152"/>
      <c r="H47" s="153"/>
      <c r="I47" s="37"/>
      <c r="J47" s="157">
        <v>16</v>
      </c>
      <c r="K47" s="157"/>
      <c r="L47" s="157"/>
      <c r="M47" s="157"/>
      <c r="N47" s="37"/>
      <c r="O47" s="86">
        <v>2</v>
      </c>
      <c r="P47" s="55"/>
      <c r="Q47" s="37"/>
      <c r="R47" s="12" t="s">
        <v>8</v>
      </c>
      <c r="S47" s="37"/>
      <c r="T47" s="37" t="str">
        <f t="shared" si="11"/>
        <v>Cu1FanSpd5</v>
      </c>
      <c r="U47" s="151" t="s">
        <v>96</v>
      </c>
      <c r="V47" s="152"/>
      <c r="W47" s="152"/>
      <c r="X47" s="152"/>
      <c r="Y47" s="152"/>
      <c r="Z47" s="153"/>
      <c r="AA47" s="37"/>
      <c r="AB47" s="157">
        <v>40</v>
      </c>
      <c r="AC47" s="157"/>
      <c r="AD47" s="157"/>
      <c r="AE47" s="157"/>
      <c r="AF47" s="37"/>
      <c r="AG47" s="86">
        <v>3</v>
      </c>
      <c r="AH47" s="55"/>
      <c r="AI47" s="37"/>
      <c r="AJ47" s="12" t="s">
        <v>15</v>
      </c>
      <c r="AK47" s="37"/>
      <c r="AL47" s="12" t="str">
        <f t="shared" si="12"/>
        <v>Cu2FanSpd5</v>
      </c>
      <c r="AM47" s="151" t="s">
        <v>106</v>
      </c>
      <c r="AN47" s="152"/>
      <c r="AO47" s="152"/>
      <c r="AP47" s="152"/>
      <c r="AQ47" s="152"/>
      <c r="AR47" s="153"/>
      <c r="AS47" s="37"/>
      <c r="AT47" s="157">
        <v>64</v>
      </c>
      <c r="AU47" s="157"/>
      <c r="AV47" s="157"/>
      <c r="AW47" s="157"/>
      <c r="AX47" s="37"/>
      <c r="AY47" s="86">
        <v>3</v>
      </c>
      <c r="AZ47" s="55"/>
      <c r="BA47" s="37"/>
      <c r="BB47" s="12" t="s">
        <v>15</v>
      </c>
      <c r="BC47" s="38"/>
      <c r="BD47" s="38">
        <f t="shared" si="13"/>
        <v>4</v>
      </c>
      <c r="BE47" s="38">
        <f t="shared" si="14"/>
        <v>13</v>
      </c>
      <c r="BF47" s="61">
        <f t="shared" si="15"/>
        <v>13</v>
      </c>
      <c r="BJ47" s="68" t="str">
        <f t="shared" si="7"/>
        <v>{Def2, "def2", 40, 1, 0, 2, 40, 19,"C"},</v>
      </c>
      <c r="BK47" s="35"/>
      <c r="BL47" s="23"/>
      <c r="BM47" s="23"/>
      <c r="BN47" s="35"/>
      <c r="BO47" s="35"/>
      <c r="BP47" s="35"/>
      <c r="BQ47" s="35"/>
      <c r="BR47" s="35"/>
      <c r="BS47" s="35"/>
      <c r="BT47" s="35"/>
      <c r="BU47" s="35"/>
      <c r="BV47" s="35"/>
      <c r="BW47" s="23"/>
      <c r="BX47" s="23"/>
      <c r="BY47" s="23"/>
      <c r="BZ47" s="23"/>
      <c r="CA47" s="23"/>
      <c r="CB47" s="35" t="str">
        <f t="shared" si="16"/>
        <v>{Cu1FanSpd5, "CU1 Fan Spd 5", 40, 28, 40, 3, 40, 46,"R"},</v>
      </c>
      <c r="CC47" s="23"/>
      <c r="CD47" s="23"/>
      <c r="CE47" s="23"/>
      <c r="CF47" s="23"/>
      <c r="CG47" s="23"/>
      <c r="CH47" s="23"/>
      <c r="CI47" s="23"/>
      <c r="CJ47" s="23"/>
      <c r="CK47" s="23"/>
      <c r="CL47" s="35"/>
      <c r="CM47" s="23"/>
      <c r="CN47" s="23"/>
      <c r="CO47" s="23"/>
      <c r="CP47" s="35" t="str">
        <f t="shared" si="17"/>
        <v>{Cu2FanSpd5, "CU2 Fan Spd 5", 40, 55, 64, 3, 40, 73,"R"},</v>
      </c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36"/>
    </row>
    <row r="48" spans="1:106">
      <c r="A48">
        <v>41</v>
      </c>
      <c r="B48" s="30" t="str">
        <f t="shared" si="10"/>
        <v>Def3</v>
      </c>
      <c r="C48" s="148" t="str">
        <f>U40</f>
        <v>def3</v>
      </c>
      <c r="D48" s="149"/>
      <c r="E48" s="149"/>
      <c r="F48" s="149"/>
      <c r="G48" s="149"/>
      <c r="H48" s="150"/>
      <c r="I48" s="31"/>
      <c r="J48" s="156">
        <v>17</v>
      </c>
      <c r="K48" s="156"/>
      <c r="L48" s="156"/>
      <c r="M48" s="156"/>
      <c r="N48" s="31"/>
      <c r="O48" s="52">
        <v>2</v>
      </c>
      <c r="P48" s="53"/>
      <c r="Q48" s="31"/>
      <c r="R48" s="7" t="s">
        <v>8</v>
      </c>
      <c r="S48" s="31"/>
      <c r="T48" s="31" t="str">
        <f t="shared" si="11"/>
        <v>Cu1FanSpd6</v>
      </c>
      <c r="U48" s="148" t="s">
        <v>92</v>
      </c>
      <c r="V48" s="149"/>
      <c r="W48" s="149"/>
      <c r="X48" s="149"/>
      <c r="Y48" s="149"/>
      <c r="Z48" s="150"/>
      <c r="AA48" s="31"/>
      <c r="AB48" s="156">
        <v>41</v>
      </c>
      <c r="AC48" s="156"/>
      <c r="AD48" s="156"/>
      <c r="AE48" s="156"/>
      <c r="AF48" s="31"/>
      <c r="AG48" s="52">
        <v>3</v>
      </c>
      <c r="AH48" s="53"/>
      <c r="AI48" s="31"/>
      <c r="AJ48" s="7" t="s">
        <v>15</v>
      </c>
      <c r="AK48" s="31"/>
      <c r="AL48" s="7" t="str">
        <f t="shared" si="12"/>
        <v>Cu2FanSpd6</v>
      </c>
      <c r="AM48" s="148" t="s">
        <v>107</v>
      </c>
      <c r="AN48" s="149"/>
      <c r="AO48" s="149"/>
      <c r="AP48" s="149"/>
      <c r="AQ48" s="149"/>
      <c r="AR48" s="150"/>
      <c r="AS48" s="31"/>
      <c r="AT48" s="156">
        <v>65</v>
      </c>
      <c r="AU48" s="156"/>
      <c r="AV48" s="156"/>
      <c r="AW48" s="156"/>
      <c r="AX48" s="31"/>
      <c r="AY48" s="52">
        <v>3</v>
      </c>
      <c r="AZ48" s="53"/>
      <c r="BA48" s="31"/>
      <c r="BB48" s="7" t="s">
        <v>15</v>
      </c>
      <c r="BC48" s="32"/>
      <c r="BD48" s="32">
        <f t="shared" si="13"/>
        <v>4</v>
      </c>
      <c r="BE48" s="32">
        <f t="shared" si="14"/>
        <v>13</v>
      </c>
      <c r="BF48" s="58">
        <f t="shared" si="15"/>
        <v>13</v>
      </c>
      <c r="BJ48" s="68" t="str">
        <f t="shared" si="7"/>
        <v>{Def3, "def3", 41, 1, 0, 2, 41, 19,"C"},</v>
      </c>
      <c r="BK48" s="35"/>
      <c r="BL48" s="23"/>
      <c r="BM48" s="23"/>
      <c r="BN48" s="35"/>
      <c r="BO48" s="35"/>
      <c r="BP48" s="35"/>
      <c r="BQ48" s="35"/>
      <c r="BR48" s="35"/>
      <c r="BS48" s="35"/>
      <c r="BT48" s="35"/>
      <c r="BU48" s="35"/>
      <c r="BV48" s="35"/>
      <c r="BW48" s="23"/>
      <c r="BX48" s="23"/>
      <c r="BY48" s="23"/>
      <c r="BZ48" s="23"/>
      <c r="CA48" s="23"/>
      <c r="CB48" s="35" t="str">
        <f t="shared" si="16"/>
        <v>{Cu1FanSpd6, "CU1 Fan Spd 6", 41, 28, 41, 3, 41, 46,"R"},</v>
      </c>
      <c r="CC48" s="23"/>
      <c r="CD48" s="23"/>
      <c r="CE48" s="23"/>
      <c r="CF48" s="23"/>
      <c r="CG48" s="23"/>
      <c r="CH48" s="23"/>
      <c r="CI48" s="23"/>
      <c r="CJ48" s="23"/>
      <c r="CK48" s="23"/>
      <c r="CL48" s="35"/>
      <c r="CM48" s="23"/>
      <c r="CN48" s="23"/>
      <c r="CO48" s="23"/>
      <c r="CP48" s="35" t="str">
        <f t="shared" si="17"/>
        <v>{Cu2FanSpd6, "CU2 Fan Spd 6", 41, 55, 65, 3, 41, 73,"R"},</v>
      </c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36"/>
    </row>
    <row r="49" spans="1:106">
      <c r="A49">
        <v>42</v>
      </c>
      <c r="B49" s="34" t="str">
        <f t="shared" si="10"/>
        <v>Abc1</v>
      </c>
      <c r="C49" s="145" t="str">
        <f>AM38</f>
        <v>abc1</v>
      </c>
      <c r="D49" s="146"/>
      <c r="E49" s="146"/>
      <c r="F49" s="146"/>
      <c r="G49" s="146"/>
      <c r="H49" s="147"/>
      <c r="I49" s="23"/>
      <c r="J49" s="155">
        <v>18</v>
      </c>
      <c r="K49" s="155"/>
      <c r="L49" s="155"/>
      <c r="M49" s="155"/>
      <c r="N49" s="23"/>
      <c r="O49" s="16">
        <v>2</v>
      </c>
      <c r="P49" s="22"/>
      <c r="Q49" s="23"/>
      <c r="R49" s="1" t="s">
        <v>8</v>
      </c>
      <c r="S49" s="23"/>
      <c r="T49" s="23" t="str">
        <f t="shared" si="11"/>
        <v>Cu1Temp1</v>
      </c>
      <c r="U49" s="145" t="s">
        <v>97</v>
      </c>
      <c r="V49" s="146"/>
      <c r="W49" s="146"/>
      <c r="X49" s="146"/>
      <c r="Y49" s="146"/>
      <c r="Z49" s="147"/>
      <c r="AA49" s="23"/>
      <c r="AB49" s="155">
        <v>42</v>
      </c>
      <c r="AC49" s="155"/>
      <c r="AD49" s="155"/>
      <c r="AE49" s="155"/>
      <c r="AF49" s="23"/>
      <c r="AG49" s="16">
        <v>2</v>
      </c>
      <c r="AH49" s="22"/>
      <c r="AI49" s="23"/>
      <c r="AJ49" s="1" t="s">
        <v>8</v>
      </c>
      <c r="AK49" s="23"/>
      <c r="AL49" s="1" t="str">
        <f t="shared" si="12"/>
        <v>Cu2Temp1</v>
      </c>
      <c r="AM49" s="145" t="s">
        <v>108</v>
      </c>
      <c r="AN49" s="146"/>
      <c r="AO49" s="146"/>
      <c r="AP49" s="146"/>
      <c r="AQ49" s="146"/>
      <c r="AR49" s="147"/>
      <c r="AS49" s="23"/>
      <c r="AT49" s="155">
        <v>66</v>
      </c>
      <c r="AU49" s="155"/>
      <c r="AV49" s="155"/>
      <c r="AW49" s="155"/>
      <c r="AX49" s="23"/>
      <c r="AY49" s="16">
        <v>2</v>
      </c>
      <c r="AZ49" s="22"/>
      <c r="BA49" s="23"/>
      <c r="BB49" s="1" t="s">
        <v>8</v>
      </c>
      <c r="BC49" s="35"/>
      <c r="BD49" s="35">
        <f t="shared" si="13"/>
        <v>4</v>
      </c>
      <c r="BE49" s="35">
        <f t="shared" si="14"/>
        <v>10</v>
      </c>
      <c r="BF49" s="59">
        <f t="shared" si="15"/>
        <v>10</v>
      </c>
      <c r="BJ49" s="68" t="str">
        <f t="shared" si="7"/>
        <v>{Abc1, "abc1", 42, 1, 0, 2, 42, 19,"C"},</v>
      </c>
      <c r="BK49" s="35"/>
      <c r="BL49" s="23"/>
      <c r="BM49" s="23"/>
      <c r="BN49" s="35"/>
      <c r="BO49" s="35"/>
      <c r="BP49" s="35"/>
      <c r="BQ49" s="35"/>
      <c r="BR49" s="35"/>
      <c r="BS49" s="35"/>
      <c r="BT49" s="35"/>
      <c r="BU49" s="35"/>
      <c r="BV49" s="35"/>
      <c r="BW49" s="23"/>
      <c r="BX49" s="23"/>
      <c r="BY49" s="23"/>
      <c r="BZ49" s="23"/>
      <c r="CA49" s="23"/>
      <c r="CB49" s="35" t="str">
        <f t="shared" si="16"/>
        <v>{Cu1Temp1, "CU1 Temp 1", 42, 28, 42, 2, 42, 46,"C"},</v>
      </c>
      <c r="CC49" s="23"/>
      <c r="CD49" s="23"/>
      <c r="CE49" s="23"/>
      <c r="CF49" s="23"/>
      <c r="CG49" s="23"/>
      <c r="CH49" s="23"/>
      <c r="CI49" s="23"/>
      <c r="CJ49" s="23"/>
      <c r="CK49" s="23"/>
      <c r="CL49" s="35"/>
      <c r="CM49" s="23"/>
      <c r="CN49" s="23"/>
      <c r="CO49" s="23"/>
      <c r="CP49" s="35" t="str">
        <f t="shared" si="17"/>
        <v>{Cu2Temp1, "CU2 Temp 1", 42, 55, 66, 2, 42, 73,"C"},</v>
      </c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36"/>
    </row>
    <row r="50" spans="1:106">
      <c r="A50">
        <v>43</v>
      </c>
      <c r="B50" s="34" t="str">
        <f t="shared" si="10"/>
        <v>Abc2</v>
      </c>
      <c r="C50" s="145" t="str">
        <f>AM39</f>
        <v>abc2</v>
      </c>
      <c r="D50" s="146"/>
      <c r="E50" s="146"/>
      <c r="F50" s="146"/>
      <c r="G50" s="146"/>
      <c r="H50" s="147"/>
      <c r="I50" s="23"/>
      <c r="J50" s="155">
        <v>19</v>
      </c>
      <c r="K50" s="155"/>
      <c r="L50" s="155"/>
      <c r="M50" s="155"/>
      <c r="N50" s="23"/>
      <c r="O50" s="16">
        <v>2</v>
      </c>
      <c r="P50" s="22"/>
      <c r="Q50" s="23"/>
      <c r="R50" s="1" t="s">
        <v>8</v>
      </c>
      <c r="S50" s="23"/>
      <c r="T50" s="23" t="str">
        <f t="shared" si="11"/>
        <v>Cu1Temp2</v>
      </c>
      <c r="U50" s="145" t="s">
        <v>98</v>
      </c>
      <c r="V50" s="146"/>
      <c r="W50" s="146"/>
      <c r="X50" s="146"/>
      <c r="Y50" s="146"/>
      <c r="Z50" s="147"/>
      <c r="AA50" s="23"/>
      <c r="AB50" s="155">
        <v>43</v>
      </c>
      <c r="AC50" s="155"/>
      <c r="AD50" s="155"/>
      <c r="AE50" s="155"/>
      <c r="AF50" s="23"/>
      <c r="AG50" s="16">
        <v>2</v>
      </c>
      <c r="AH50" s="22"/>
      <c r="AI50" s="23"/>
      <c r="AJ50" s="1" t="s">
        <v>8</v>
      </c>
      <c r="AK50" s="23"/>
      <c r="AL50" s="1" t="str">
        <f t="shared" si="12"/>
        <v>Cu2Temp2</v>
      </c>
      <c r="AM50" s="145" t="s">
        <v>109</v>
      </c>
      <c r="AN50" s="146"/>
      <c r="AO50" s="146"/>
      <c r="AP50" s="146"/>
      <c r="AQ50" s="146"/>
      <c r="AR50" s="147"/>
      <c r="AS50" s="23"/>
      <c r="AT50" s="155">
        <v>67</v>
      </c>
      <c r="AU50" s="155"/>
      <c r="AV50" s="155"/>
      <c r="AW50" s="155"/>
      <c r="AX50" s="23"/>
      <c r="AY50" s="16">
        <v>2</v>
      </c>
      <c r="AZ50" s="22"/>
      <c r="BA50" s="23"/>
      <c r="BB50" s="1" t="s">
        <v>8</v>
      </c>
      <c r="BC50" s="35"/>
      <c r="BD50" s="35">
        <f t="shared" si="13"/>
        <v>4</v>
      </c>
      <c r="BE50" s="35">
        <f t="shared" si="14"/>
        <v>10</v>
      </c>
      <c r="BF50" s="59">
        <f t="shared" si="15"/>
        <v>10</v>
      </c>
      <c r="BJ50" s="68" t="str">
        <f t="shared" si="7"/>
        <v>{Abc2, "abc2", 43, 1, 0, 2, 43, 19,"C"},</v>
      </c>
      <c r="BK50" s="35"/>
      <c r="BL50" s="23"/>
      <c r="BM50" s="23"/>
      <c r="BN50" s="35"/>
      <c r="BO50" s="35"/>
      <c r="BP50" s="35"/>
      <c r="BQ50" s="35"/>
      <c r="BR50" s="35"/>
      <c r="BS50" s="35"/>
      <c r="BT50" s="35"/>
      <c r="BU50" s="35"/>
      <c r="BV50" s="35"/>
      <c r="BW50" s="23"/>
      <c r="BX50" s="23"/>
      <c r="BY50" s="23"/>
      <c r="BZ50" s="23"/>
      <c r="CA50" s="23"/>
      <c r="CB50" s="35" t="str">
        <f t="shared" si="16"/>
        <v>{Cu1Temp2, "CU1 Temp 2", 43, 28, 43, 2, 43, 46,"C"},</v>
      </c>
      <c r="CC50" s="23"/>
      <c r="CD50" s="23"/>
      <c r="CE50" s="23"/>
      <c r="CF50" s="23"/>
      <c r="CG50" s="23"/>
      <c r="CH50" s="23"/>
      <c r="CI50" s="23"/>
      <c r="CJ50" s="23"/>
      <c r="CK50" s="23"/>
      <c r="CL50" s="35"/>
      <c r="CM50" s="23"/>
      <c r="CN50" s="23"/>
      <c r="CO50" s="23"/>
      <c r="CP50" s="35" t="str">
        <f t="shared" si="17"/>
        <v>{Cu2Temp2, "CU2 Temp 2", 43, 55, 67, 2, 43, 73,"C"},</v>
      </c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36"/>
    </row>
    <row r="51" spans="1:106">
      <c r="A51">
        <v>44</v>
      </c>
      <c r="B51" s="34" t="str">
        <f t="shared" si="10"/>
        <v>Abc3</v>
      </c>
      <c r="C51" s="145" t="str">
        <f>AM40</f>
        <v>abc3</v>
      </c>
      <c r="D51" s="146"/>
      <c r="E51" s="146"/>
      <c r="F51" s="146"/>
      <c r="G51" s="146"/>
      <c r="H51" s="147"/>
      <c r="I51" s="23"/>
      <c r="J51" s="155">
        <v>20</v>
      </c>
      <c r="K51" s="155"/>
      <c r="L51" s="155"/>
      <c r="M51" s="155"/>
      <c r="N51" s="23"/>
      <c r="O51" s="16">
        <v>2</v>
      </c>
      <c r="P51" s="22"/>
      <c r="Q51" s="23"/>
      <c r="R51" s="1" t="s">
        <v>8</v>
      </c>
      <c r="S51" s="23"/>
      <c r="T51" s="23" t="str">
        <f t="shared" si="11"/>
        <v>Cu1Temp3</v>
      </c>
      <c r="U51" s="145" t="s">
        <v>99</v>
      </c>
      <c r="V51" s="146"/>
      <c r="W51" s="146"/>
      <c r="X51" s="146"/>
      <c r="Y51" s="146"/>
      <c r="Z51" s="147"/>
      <c r="AA51" s="23"/>
      <c r="AB51" s="155">
        <v>44</v>
      </c>
      <c r="AC51" s="155"/>
      <c r="AD51" s="155"/>
      <c r="AE51" s="155"/>
      <c r="AF51" s="23"/>
      <c r="AG51" s="16">
        <v>2</v>
      </c>
      <c r="AH51" s="22"/>
      <c r="AI51" s="23"/>
      <c r="AJ51" s="1" t="s">
        <v>8</v>
      </c>
      <c r="AK51" s="23"/>
      <c r="AL51" s="1" t="str">
        <f t="shared" si="12"/>
        <v>Cu2Temp3</v>
      </c>
      <c r="AM51" s="145" t="s">
        <v>110</v>
      </c>
      <c r="AN51" s="146"/>
      <c r="AO51" s="146"/>
      <c r="AP51" s="146"/>
      <c r="AQ51" s="146"/>
      <c r="AR51" s="147"/>
      <c r="AS51" s="23"/>
      <c r="AT51" s="155">
        <v>68</v>
      </c>
      <c r="AU51" s="155"/>
      <c r="AV51" s="155"/>
      <c r="AW51" s="155"/>
      <c r="AX51" s="23"/>
      <c r="AY51" s="16">
        <v>2</v>
      </c>
      <c r="AZ51" s="22"/>
      <c r="BA51" s="23"/>
      <c r="BB51" s="1" t="s">
        <v>8</v>
      </c>
      <c r="BC51" s="35"/>
      <c r="BD51" s="35">
        <f t="shared" si="13"/>
        <v>4</v>
      </c>
      <c r="BE51" s="35">
        <f t="shared" si="14"/>
        <v>10</v>
      </c>
      <c r="BF51" s="59">
        <f t="shared" si="15"/>
        <v>10</v>
      </c>
      <c r="BJ51" s="68" t="str">
        <f t="shared" si="7"/>
        <v>{Abc3, "abc3", 44, 1, 0, 2, 44, 19,"C"},</v>
      </c>
      <c r="BK51" s="35"/>
      <c r="BL51" s="23"/>
      <c r="BM51" s="23"/>
      <c r="BN51" s="35"/>
      <c r="BO51" s="35"/>
      <c r="BP51" s="35"/>
      <c r="BQ51" s="35"/>
      <c r="BR51" s="35"/>
      <c r="BS51" s="35"/>
      <c r="BT51" s="35"/>
      <c r="BU51" s="35"/>
      <c r="BV51" s="35"/>
      <c r="BW51" s="23"/>
      <c r="BX51" s="23"/>
      <c r="BY51" s="23"/>
      <c r="BZ51" s="23"/>
      <c r="CA51" s="23"/>
      <c r="CB51" s="35" t="str">
        <f t="shared" si="16"/>
        <v>{Cu1Temp3, "CU1 Temp 3", 44, 28, 44, 2, 44, 46,"C"},</v>
      </c>
      <c r="CC51" s="23"/>
      <c r="CD51" s="23"/>
      <c r="CE51" s="23"/>
      <c r="CF51" s="23"/>
      <c r="CG51" s="23"/>
      <c r="CH51" s="23"/>
      <c r="CI51" s="23"/>
      <c r="CJ51" s="23"/>
      <c r="CK51" s="23"/>
      <c r="CL51" s="35"/>
      <c r="CM51" s="23"/>
      <c r="CN51" s="23"/>
      <c r="CO51" s="23"/>
      <c r="CP51" s="35" t="str">
        <f t="shared" si="17"/>
        <v>{Cu2Temp3, "CU2 Temp 3", 44, 55, 68, 2, 44, 73,"C"},</v>
      </c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36"/>
    </row>
    <row r="52" spans="1:106">
      <c r="A52">
        <v>45</v>
      </c>
      <c r="B52" s="34" t="str">
        <f t="shared" si="10"/>
        <v>Cu1CtrlTemp</v>
      </c>
      <c r="C52" s="145" t="s">
        <v>100</v>
      </c>
      <c r="D52" s="146"/>
      <c r="E52" s="146"/>
      <c r="F52" s="146"/>
      <c r="G52" s="146"/>
      <c r="H52" s="147"/>
      <c r="I52" s="23"/>
      <c r="J52" s="155">
        <v>21</v>
      </c>
      <c r="K52" s="155"/>
      <c r="L52" s="155"/>
      <c r="M52" s="155"/>
      <c r="N52" s="23"/>
      <c r="O52" s="16">
        <v>2</v>
      </c>
      <c r="P52" s="22"/>
      <c r="Q52" s="23"/>
      <c r="R52" s="1" t="s">
        <v>8</v>
      </c>
      <c r="S52" s="23"/>
      <c r="T52" s="60" t="str">
        <f t="shared" si="11"/>
        <v>Def3</v>
      </c>
      <c r="U52" s="145" t="s">
        <v>436</v>
      </c>
      <c r="V52" s="146"/>
      <c r="W52" s="146"/>
      <c r="X52" s="146"/>
      <c r="Y52" s="146"/>
      <c r="Z52" s="147"/>
      <c r="AA52" s="23"/>
      <c r="AB52" s="155">
        <v>45</v>
      </c>
      <c r="AC52" s="155"/>
      <c r="AD52" s="155"/>
      <c r="AE52" s="155"/>
      <c r="AF52" s="23"/>
      <c r="AG52" s="16">
        <v>2</v>
      </c>
      <c r="AH52" s="22"/>
      <c r="AI52" s="23"/>
      <c r="AJ52" s="1" t="s">
        <v>8</v>
      </c>
      <c r="AK52" s="23"/>
      <c r="AL52" s="96" t="str">
        <f t="shared" si="12"/>
        <v>Abc4</v>
      </c>
      <c r="AM52" s="145" t="s">
        <v>432</v>
      </c>
      <c r="AN52" s="146"/>
      <c r="AO52" s="146"/>
      <c r="AP52" s="146"/>
      <c r="AQ52" s="146"/>
      <c r="AR52" s="147"/>
      <c r="AS52" s="23"/>
      <c r="AT52" s="155">
        <v>69</v>
      </c>
      <c r="AU52" s="155"/>
      <c r="AV52" s="155"/>
      <c r="AW52" s="155"/>
      <c r="AX52" s="23"/>
      <c r="AY52" s="16">
        <v>2</v>
      </c>
      <c r="AZ52" s="22"/>
      <c r="BA52" s="23"/>
      <c r="BB52" s="1" t="s">
        <v>8</v>
      </c>
      <c r="BC52" s="35"/>
      <c r="BD52" s="35">
        <f t="shared" si="13"/>
        <v>13</v>
      </c>
      <c r="BE52" s="35">
        <f t="shared" si="14"/>
        <v>4</v>
      </c>
      <c r="BF52" s="59">
        <f t="shared" si="15"/>
        <v>4</v>
      </c>
      <c r="BJ52" s="68" t="str">
        <f t="shared" si="7"/>
        <v>{Cu1CtrlTemp, "CU1 Ctrl Temp", 45, 1, 0, 2, 45, 19,"C"},</v>
      </c>
      <c r="BK52" s="35"/>
      <c r="BL52" s="23"/>
      <c r="BM52" s="23"/>
      <c r="BN52" s="35"/>
      <c r="BO52" s="35"/>
      <c r="BP52" s="35"/>
      <c r="BQ52" s="35"/>
      <c r="BR52" s="35"/>
      <c r="BS52" s="35"/>
      <c r="BT52" s="35"/>
      <c r="BU52" s="35"/>
      <c r="BV52" s="35"/>
      <c r="BW52" s="23"/>
      <c r="BX52" s="23"/>
      <c r="BY52" s="23"/>
      <c r="BZ52" s="23"/>
      <c r="CA52" s="23"/>
      <c r="CB52" s="35" t="str">
        <f t="shared" si="16"/>
        <v>{Def3, "def3", 45, 28, 45, 2, 45, 46,"C"},</v>
      </c>
      <c r="CC52" s="23"/>
      <c r="CD52" s="23"/>
      <c r="CE52" s="23"/>
      <c r="CF52" s="23"/>
      <c r="CG52" s="23"/>
      <c r="CH52" s="23"/>
      <c r="CI52" s="23"/>
      <c r="CJ52" s="23"/>
      <c r="CK52" s="23"/>
      <c r="CL52" s="35"/>
      <c r="CM52" s="23"/>
      <c r="CN52" s="23"/>
      <c r="CO52" s="23"/>
      <c r="CP52" s="35" t="str">
        <f t="shared" si="17"/>
        <v>{Abc4, "abc4", 45, 55, 69, 2, 45, 73,"C"},</v>
      </c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36"/>
    </row>
    <row r="53" spans="1:106">
      <c r="A53">
        <v>46</v>
      </c>
      <c r="B53" s="34" t="str">
        <f t="shared" si="10"/>
        <v>Cu1Remote</v>
      </c>
      <c r="C53" s="145" t="s">
        <v>101</v>
      </c>
      <c r="D53" s="146"/>
      <c r="E53" s="146"/>
      <c r="F53" s="146"/>
      <c r="G53" s="146"/>
      <c r="H53" s="147"/>
      <c r="I53" s="23"/>
      <c r="J53" s="155">
        <v>22</v>
      </c>
      <c r="K53" s="155"/>
      <c r="L53" s="155"/>
      <c r="M53" s="155"/>
      <c r="N53" s="23"/>
      <c r="O53" s="16">
        <v>2</v>
      </c>
      <c r="P53" s="22"/>
      <c r="Q53" s="23"/>
      <c r="R53" s="1" t="s">
        <v>8</v>
      </c>
      <c r="S53" s="23"/>
      <c r="T53" s="60" t="str">
        <f t="shared" si="11"/>
        <v>Def4</v>
      </c>
      <c r="U53" s="145" t="s">
        <v>437</v>
      </c>
      <c r="V53" s="146"/>
      <c r="W53" s="146"/>
      <c r="X53" s="146"/>
      <c r="Y53" s="146"/>
      <c r="Z53" s="147"/>
      <c r="AA53" s="23"/>
      <c r="AB53" s="155">
        <v>46</v>
      </c>
      <c r="AC53" s="155"/>
      <c r="AD53" s="155"/>
      <c r="AE53" s="155"/>
      <c r="AF53" s="23"/>
      <c r="AG53" s="16">
        <v>2</v>
      </c>
      <c r="AH53" s="22"/>
      <c r="AI53" s="23"/>
      <c r="AJ53" s="1" t="s">
        <v>8</v>
      </c>
      <c r="AK53" s="23"/>
      <c r="AL53" s="96" t="str">
        <f t="shared" si="12"/>
        <v>Abc5</v>
      </c>
      <c r="AM53" s="145" t="s">
        <v>433</v>
      </c>
      <c r="AN53" s="146"/>
      <c r="AO53" s="146"/>
      <c r="AP53" s="146"/>
      <c r="AQ53" s="146"/>
      <c r="AR53" s="147"/>
      <c r="AS53" s="23"/>
      <c r="AT53" s="155">
        <v>70</v>
      </c>
      <c r="AU53" s="155"/>
      <c r="AV53" s="155"/>
      <c r="AW53" s="155"/>
      <c r="AX53" s="23"/>
      <c r="AY53" s="16">
        <v>2</v>
      </c>
      <c r="AZ53" s="22"/>
      <c r="BA53" s="23"/>
      <c r="BB53" s="1" t="s">
        <v>8</v>
      </c>
      <c r="BC53" s="35"/>
      <c r="BD53" s="35">
        <f t="shared" si="13"/>
        <v>10</v>
      </c>
      <c r="BE53" s="35">
        <f t="shared" si="14"/>
        <v>4</v>
      </c>
      <c r="BF53" s="59">
        <f t="shared" si="15"/>
        <v>4</v>
      </c>
      <c r="BJ53" s="68" t="str">
        <f t="shared" si="7"/>
        <v>{Cu1Remote, "CU1 Remote", 46, 1, 0, 2, 46, 19,"C"},</v>
      </c>
      <c r="BK53" s="35"/>
      <c r="BL53" s="23"/>
      <c r="BM53" s="23"/>
      <c r="BN53" s="35"/>
      <c r="BO53" s="35"/>
      <c r="BP53" s="35"/>
      <c r="BQ53" s="35"/>
      <c r="BR53" s="35"/>
      <c r="BS53" s="35"/>
      <c r="BT53" s="35"/>
      <c r="BU53" s="35"/>
      <c r="BV53" s="35"/>
      <c r="BW53" s="23"/>
      <c r="BX53" s="23"/>
      <c r="BY53" s="23"/>
      <c r="BZ53" s="23"/>
      <c r="CA53" s="23"/>
      <c r="CB53" s="35" t="str">
        <f t="shared" si="16"/>
        <v>{Def4, "def4", 46, 28, 46, 2, 46, 46,"C"},</v>
      </c>
      <c r="CC53" s="23"/>
      <c r="CD53" s="23"/>
      <c r="CE53" s="23"/>
      <c r="CF53" s="23"/>
      <c r="CG53" s="23"/>
      <c r="CH53" s="23"/>
      <c r="CI53" s="23"/>
      <c r="CJ53" s="23"/>
      <c r="CK53" s="23"/>
      <c r="CL53" s="35"/>
      <c r="CM53" s="23"/>
      <c r="CN53" s="23"/>
      <c r="CO53" s="23"/>
      <c r="CP53" s="35" t="str">
        <f t="shared" si="17"/>
        <v>{Abc5, "abc5", 46, 55, 70, 2, 46, 73,"C"},</v>
      </c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36"/>
    </row>
    <row r="54" spans="1:106">
      <c r="A54">
        <v>47</v>
      </c>
      <c r="B54" s="34" t="str">
        <f t="shared" si="10"/>
        <v>Cu2CtrlTemp</v>
      </c>
      <c r="C54" s="145" t="s">
        <v>111</v>
      </c>
      <c r="D54" s="146"/>
      <c r="E54" s="146"/>
      <c r="F54" s="146"/>
      <c r="G54" s="146"/>
      <c r="H54" s="147"/>
      <c r="I54" s="23"/>
      <c r="J54" s="155">
        <v>23</v>
      </c>
      <c r="K54" s="155"/>
      <c r="L54" s="155"/>
      <c r="M54" s="155"/>
      <c r="N54" s="23"/>
      <c r="O54" s="16">
        <v>2</v>
      </c>
      <c r="P54" s="22"/>
      <c r="Q54" s="23"/>
      <c r="R54" s="1" t="s">
        <v>8</v>
      </c>
      <c r="S54" s="23"/>
      <c r="T54" s="23" t="s">
        <v>123</v>
      </c>
      <c r="U54" s="145" t="s">
        <v>313</v>
      </c>
      <c r="V54" s="146"/>
      <c r="W54" s="146"/>
      <c r="X54" s="146"/>
      <c r="Y54" s="146"/>
      <c r="Z54" s="147"/>
      <c r="AA54" s="23"/>
      <c r="AB54" s="155">
        <v>47</v>
      </c>
      <c r="AC54" s="155"/>
      <c r="AD54" s="155"/>
      <c r="AE54" s="155"/>
      <c r="AF54" s="23"/>
      <c r="AG54" s="16">
        <v>4</v>
      </c>
      <c r="AH54" s="22"/>
      <c r="AI54" s="23"/>
      <c r="AJ54" s="1" t="s">
        <v>314</v>
      </c>
      <c r="AK54" s="23"/>
      <c r="AL54" s="1" t="s">
        <v>125</v>
      </c>
      <c r="AM54" s="145" t="s">
        <v>313</v>
      </c>
      <c r="AN54" s="146"/>
      <c r="AO54" s="146"/>
      <c r="AP54" s="146"/>
      <c r="AQ54" s="146"/>
      <c r="AR54" s="147"/>
      <c r="AS54" s="23"/>
      <c r="AT54" s="155">
        <v>71</v>
      </c>
      <c r="AU54" s="155"/>
      <c r="AV54" s="155"/>
      <c r="AW54" s="155"/>
      <c r="AX54" s="23"/>
      <c r="AY54" s="16">
        <v>4</v>
      </c>
      <c r="AZ54" s="22"/>
      <c r="BA54" s="23"/>
      <c r="BB54" s="1" t="s">
        <v>314</v>
      </c>
      <c r="BC54" s="35"/>
      <c r="BD54" s="35">
        <f t="shared" si="13"/>
        <v>13</v>
      </c>
      <c r="BE54" s="35">
        <f t="shared" si="14"/>
        <v>15</v>
      </c>
      <c r="BF54" s="59">
        <f t="shared" si="15"/>
        <v>15</v>
      </c>
      <c r="BJ54" s="68" t="str">
        <f t="shared" si="7"/>
        <v>{Cu2CtrlTemp, "CU2 Ctrl Temp", 47, 1, 0, 2, 47, 19,"C"},</v>
      </c>
      <c r="BK54" s="35"/>
      <c r="BL54" s="23"/>
      <c r="BM54" s="23"/>
      <c r="BN54" s="35"/>
      <c r="BO54" s="35"/>
      <c r="BP54" s="35"/>
      <c r="BQ54" s="35"/>
      <c r="BR54" s="35"/>
      <c r="BS54" s="35"/>
      <c r="BT54" s="35"/>
      <c r="BU54" s="35"/>
      <c r="BV54" s="35"/>
      <c r="BW54" s="23"/>
      <c r="BX54" s="23"/>
      <c r="BY54" s="23"/>
      <c r="BZ54" s="23"/>
      <c r="CA54" s="23"/>
      <c r="CB54" s="35" t="str">
        <f t="shared" si="16"/>
        <v>{Blank46, "XXXXXXXXXXXXXXX", 47, 28, 47, 4, 47, 46,"X"},</v>
      </c>
      <c r="CC54" s="23"/>
      <c r="CD54" s="23"/>
      <c r="CE54" s="23"/>
      <c r="CF54" s="23"/>
      <c r="CG54" s="23"/>
      <c r="CH54" s="23"/>
      <c r="CI54" s="23"/>
      <c r="CJ54" s="23"/>
      <c r="CK54" s="23"/>
      <c r="CL54" s="35"/>
      <c r="CM54" s="23"/>
      <c r="CN54" s="23"/>
      <c r="CO54" s="23"/>
      <c r="CP54" s="35" t="str">
        <f t="shared" si="17"/>
        <v>{Blank70, "XXXXXXXXXXXXXXX", 47, 55, 71, 4, 47, 73,"X"},</v>
      </c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36"/>
    </row>
    <row r="55" spans="1:106" ht="15" thickBot="1">
      <c r="A55">
        <v>48</v>
      </c>
      <c r="B55" s="54" t="str">
        <f t="shared" si="10"/>
        <v>Cu2Remote</v>
      </c>
      <c r="C55" s="151" t="s">
        <v>112</v>
      </c>
      <c r="D55" s="152"/>
      <c r="E55" s="152"/>
      <c r="F55" s="152"/>
      <c r="G55" s="152"/>
      <c r="H55" s="153"/>
      <c r="I55" s="37"/>
      <c r="J55" s="157">
        <v>24</v>
      </c>
      <c r="K55" s="157"/>
      <c r="L55" s="157"/>
      <c r="M55" s="157"/>
      <c r="N55" s="37"/>
      <c r="O55" s="86">
        <v>2</v>
      </c>
      <c r="P55" s="55"/>
      <c r="Q55" s="37"/>
      <c r="R55" s="12" t="s">
        <v>8</v>
      </c>
      <c r="S55" s="37"/>
      <c r="T55" s="37" t="s">
        <v>124</v>
      </c>
      <c r="U55" s="151" t="s">
        <v>313</v>
      </c>
      <c r="V55" s="152"/>
      <c r="W55" s="152"/>
      <c r="X55" s="152"/>
      <c r="Y55" s="152"/>
      <c r="Z55" s="153"/>
      <c r="AA55" s="37"/>
      <c r="AB55" s="157">
        <v>48</v>
      </c>
      <c r="AC55" s="157"/>
      <c r="AD55" s="157"/>
      <c r="AE55" s="157"/>
      <c r="AF55" s="37"/>
      <c r="AG55" s="86">
        <v>4</v>
      </c>
      <c r="AH55" s="55"/>
      <c r="AI55" s="37"/>
      <c r="AJ55" s="12" t="s">
        <v>314</v>
      </c>
      <c r="AK55" s="37"/>
      <c r="AL55" s="12" t="s">
        <v>126</v>
      </c>
      <c r="AM55" s="151" t="s">
        <v>313</v>
      </c>
      <c r="AN55" s="152"/>
      <c r="AO55" s="152"/>
      <c r="AP55" s="152"/>
      <c r="AQ55" s="152"/>
      <c r="AR55" s="153"/>
      <c r="AS55" s="37"/>
      <c r="AT55" s="157">
        <v>72</v>
      </c>
      <c r="AU55" s="157"/>
      <c r="AV55" s="157"/>
      <c r="AW55" s="157"/>
      <c r="AX55" s="37"/>
      <c r="AY55" s="86">
        <v>4</v>
      </c>
      <c r="AZ55" s="55"/>
      <c r="BA55" s="37"/>
      <c r="BB55" s="12" t="s">
        <v>314</v>
      </c>
      <c r="BC55" s="38"/>
      <c r="BD55" s="38">
        <f t="shared" si="13"/>
        <v>10</v>
      </c>
      <c r="BE55" s="38">
        <f t="shared" si="14"/>
        <v>15</v>
      </c>
      <c r="BF55" s="61">
        <f t="shared" si="15"/>
        <v>15</v>
      </c>
      <c r="BJ55" s="69" t="str">
        <f t="shared" si="7"/>
        <v>{Cu2Remote, "CU2 Remote", 48, 1, 0, 2, 48, 19,"C"},</v>
      </c>
      <c r="BK55" s="38"/>
      <c r="BL55" s="37"/>
      <c r="BM55" s="37"/>
      <c r="BN55" s="38"/>
      <c r="BO55" s="38"/>
      <c r="BP55" s="38"/>
      <c r="BQ55" s="38"/>
      <c r="BR55" s="38"/>
      <c r="BS55" s="38"/>
      <c r="BT55" s="38"/>
      <c r="BU55" s="38"/>
      <c r="BV55" s="38"/>
      <c r="BW55" s="37"/>
      <c r="BX55" s="37"/>
      <c r="BY55" s="37"/>
      <c r="BZ55" s="37"/>
      <c r="CA55" s="37"/>
      <c r="CB55" s="38" t="str">
        <f t="shared" si="16"/>
        <v>{Blank47, "XXXXXXXXXXXXXXX", 48, 28, 48, 4, 48, 46,"X"},</v>
      </c>
      <c r="CC55" s="37"/>
      <c r="CD55" s="37"/>
      <c r="CE55" s="37"/>
      <c r="CF55" s="37"/>
      <c r="CG55" s="37"/>
      <c r="CH55" s="37"/>
      <c r="CI55" s="37"/>
      <c r="CJ55" s="37"/>
      <c r="CK55" s="37"/>
      <c r="CL55" s="38"/>
      <c r="CM55" s="37"/>
      <c r="CN55" s="37"/>
      <c r="CO55" s="37"/>
      <c r="CP55" s="38" t="str">
        <f t="shared" si="17"/>
        <v>{Blank71, "XXXXXXXXXXXXXXX", 48, 55, 72, 4, 48, 73,"X"},</v>
      </c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9"/>
    </row>
    <row r="56" spans="1:106">
      <c r="A56">
        <v>49</v>
      </c>
      <c r="C56" s="139" t="s">
        <v>29</v>
      </c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1"/>
    </row>
    <row r="57" spans="1:106">
      <c r="AJ57" s="23"/>
    </row>
    <row r="58" spans="1:106">
      <c r="U58" s="43"/>
      <c r="V58" s="43"/>
      <c r="W58" s="43"/>
      <c r="X58" s="43"/>
      <c r="Y58" s="43"/>
      <c r="Z58" s="43"/>
      <c r="AA58" s="23"/>
    </row>
    <row r="59" spans="1:106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  <c r="X59">
        <v>24</v>
      </c>
      <c r="Y59">
        <v>25</v>
      </c>
      <c r="Z59">
        <v>26</v>
      </c>
      <c r="AA59">
        <v>27</v>
      </c>
      <c r="AB59">
        <v>28</v>
      </c>
      <c r="AC59">
        <v>29</v>
      </c>
      <c r="AD59">
        <v>30</v>
      </c>
      <c r="AE59">
        <v>31</v>
      </c>
      <c r="AF59">
        <v>32</v>
      </c>
      <c r="AG59">
        <v>33</v>
      </c>
      <c r="AH59">
        <v>34</v>
      </c>
      <c r="AI59">
        <v>35</v>
      </c>
      <c r="AJ59">
        <v>36</v>
      </c>
      <c r="AK59">
        <v>37</v>
      </c>
      <c r="AL59">
        <v>38</v>
      </c>
      <c r="AM59">
        <v>39</v>
      </c>
      <c r="AN59">
        <v>40</v>
      </c>
      <c r="AO59">
        <v>41</v>
      </c>
      <c r="AP59">
        <v>42</v>
      </c>
      <c r="AQ59">
        <v>43</v>
      </c>
      <c r="AR59">
        <v>44</v>
      </c>
      <c r="AS59">
        <v>45</v>
      </c>
      <c r="AT59">
        <v>46</v>
      </c>
      <c r="AU59">
        <v>47</v>
      </c>
      <c r="AV59">
        <v>48</v>
      </c>
      <c r="AW59">
        <v>49</v>
      </c>
      <c r="AX59">
        <v>50</v>
      </c>
      <c r="AY59">
        <v>51</v>
      </c>
      <c r="AZ59">
        <v>52</v>
      </c>
      <c r="BA59">
        <v>53</v>
      </c>
      <c r="BB59">
        <v>54</v>
      </c>
      <c r="BC59">
        <v>55</v>
      </c>
      <c r="BD59">
        <v>56</v>
      </c>
      <c r="BE59">
        <v>57</v>
      </c>
      <c r="BF59">
        <v>58</v>
      </c>
      <c r="BG59">
        <v>59</v>
      </c>
      <c r="BH59">
        <v>60</v>
      </c>
      <c r="BI59">
        <v>61</v>
      </c>
      <c r="BJ59">
        <v>62</v>
      </c>
      <c r="BK59">
        <v>63</v>
      </c>
      <c r="BL59">
        <v>64</v>
      </c>
      <c r="BM59">
        <v>65</v>
      </c>
      <c r="BN59">
        <v>66</v>
      </c>
      <c r="BO59">
        <v>67</v>
      </c>
      <c r="BP59">
        <v>68</v>
      </c>
      <c r="BQ59">
        <v>69</v>
      </c>
      <c r="BR59">
        <v>70</v>
      </c>
      <c r="BS59">
        <v>71</v>
      </c>
      <c r="BT59">
        <v>72</v>
      </c>
      <c r="BU59">
        <v>73</v>
      </c>
      <c r="BV59">
        <v>74</v>
      </c>
      <c r="BW59">
        <v>75</v>
      </c>
      <c r="BX59">
        <v>76</v>
      </c>
      <c r="BY59">
        <v>77</v>
      </c>
      <c r="BZ59">
        <v>78</v>
      </c>
      <c r="CA59">
        <v>79</v>
      </c>
      <c r="CB59">
        <v>80</v>
      </c>
      <c r="CC59">
        <v>81</v>
      </c>
      <c r="CD59">
        <v>82</v>
      </c>
      <c r="CE59">
        <v>83</v>
      </c>
      <c r="CF59">
        <v>84</v>
      </c>
      <c r="CG59">
        <v>85</v>
      </c>
      <c r="CH59">
        <v>86</v>
      </c>
      <c r="CI59">
        <v>87</v>
      </c>
      <c r="CJ59">
        <v>88</v>
      </c>
      <c r="CK59">
        <v>89</v>
      </c>
      <c r="CL59">
        <v>90</v>
      </c>
      <c r="CM59">
        <v>91</v>
      </c>
      <c r="CN59">
        <v>92</v>
      </c>
      <c r="CO59">
        <v>93</v>
      </c>
      <c r="CP59">
        <v>94</v>
      </c>
      <c r="CQ59">
        <v>95</v>
      </c>
      <c r="CR59">
        <v>96</v>
      </c>
      <c r="CS59">
        <v>97</v>
      </c>
      <c r="CT59">
        <v>98</v>
      </c>
      <c r="CU59">
        <v>99</v>
      </c>
      <c r="CV59">
        <v>100</v>
      </c>
      <c r="CW59">
        <v>101</v>
      </c>
      <c r="CX59">
        <v>102</v>
      </c>
      <c r="CY59">
        <v>103</v>
      </c>
      <c r="CZ59">
        <v>104</v>
      </c>
      <c r="DA59">
        <v>105</v>
      </c>
    </row>
    <row r="60" spans="1:106">
      <c r="BJ60" s="51"/>
    </row>
    <row r="61" spans="1:106">
      <c r="BJ61" s="51"/>
    </row>
    <row r="62" spans="1:106">
      <c r="I62" s="26"/>
      <c r="BJ62" s="23"/>
      <c r="BK62" s="23"/>
      <c r="BL62" s="35"/>
      <c r="BM62" s="35"/>
      <c r="BN62" s="35"/>
      <c r="BO62" s="35"/>
      <c r="BP62" s="35"/>
      <c r="BQ62" s="35"/>
      <c r="BR62" s="35"/>
      <c r="BS62" s="35"/>
      <c r="BT62" s="23"/>
      <c r="BU62" s="23"/>
      <c r="BV62" s="23"/>
      <c r="BW62" s="23"/>
      <c r="BX62" s="23"/>
      <c r="BY62" s="23"/>
      <c r="BZ62" s="23"/>
    </row>
    <row r="63" spans="1:106">
      <c r="BJ63" s="23"/>
      <c r="BK63" s="23"/>
      <c r="BL63" s="35"/>
      <c r="BM63" s="35"/>
      <c r="BN63" s="35"/>
      <c r="BO63" s="35"/>
      <c r="BP63" s="35"/>
      <c r="BQ63" s="35"/>
      <c r="BR63" s="35"/>
      <c r="BS63" s="35"/>
      <c r="BT63" s="23"/>
      <c r="BU63" s="23"/>
      <c r="BV63" s="23"/>
      <c r="BW63" s="23"/>
      <c r="BX63" s="23"/>
      <c r="BY63" s="23"/>
      <c r="BZ63" s="23"/>
    </row>
    <row r="64" spans="1:106">
      <c r="BJ64" s="43" t="str">
        <f>"{"&amp;$B$8&amp;",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{PsVccint1V0, CpSw2V5, PolMgt1V0_V, PsVintMin1V0, Brd3V3, PolMgt1V0_I, PsVintMax1V0, Pol3V3_V, CjMgt1V2, PsVccaux1V8, Pol3V3_I, PolMgt1V2_V, PsVauxMin1V8, CpSw3V3, PolMgt1V2_I, PsVauxMax1V8, CjSw3V3, CjMgt1V8, PlVbram1V0, Cu3V3, Blank54, PlVbramMin1V0, Brd5V0, Blank55,</v>
      </c>
      <c r="BK64" s="23"/>
      <c r="BL64" s="35"/>
      <c r="BM64" s="35"/>
      <c r="BN64" s="35"/>
      <c r="BO64" s="35"/>
      <c r="BP64" s="35"/>
      <c r="BQ64" s="35"/>
      <c r="BR64" s="35"/>
      <c r="BT64" s="23"/>
      <c r="BU64" s="23"/>
      <c r="BV64" s="23"/>
      <c r="BW64" s="23"/>
      <c r="BX64" s="23"/>
      <c r="BY64" s="23"/>
      <c r="BZ64" s="23"/>
    </row>
    <row r="65" spans="62:78">
      <c r="BJ65" s="43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PlVbramMax1V0, Brd12V0, Blank56, PsVccmem1V35, Dspy12V0, L21V8, PsVmemMin1V35, CjVccint0V95, L22V5, PsVmemMax1V35, CjVintMin0V95, L2Pll1V0, BrdDdr31V35, CjVintMax0V95, L2Vdd0V95, PsDdr30V675, PolVint1V0_V, PolL2Vdd_V, PlDdr30V675, PolVint1V0_I0, PolL2Vdd_I0, PlMgt1V0, PolVint1V0_I1, PolL2Vdd_I1,</v>
      </c>
      <c r="BK65" s="23"/>
      <c r="BL65" s="35"/>
      <c r="BM65" s="35"/>
      <c r="BN65" s="35"/>
      <c r="BO65" s="35"/>
      <c r="BP65" s="35"/>
      <c r="BQ65" s="35"/>
      <c r="BR65" s="35"/>
      <c r="BT65" s="23"/>
      <c r="BU65" s="23"/>
      <c r="BV65" s="23"/>
      <c r="BW65" s="23"/>
      <c r="BX65" s="23"/>
      <c r="BY65" s="23"/>
      <c r="BZ65" s="23"/>
    </row>
    <row r="66" spans="62:78">
      <c r="BJ66" s="4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PlMgt1V2, PolVint1V_It, PolL2Vdd_I2, PlMgt1V8, CjVbram0V95, PolL2Vdd_I3, CpBrd1V0, CjVramMin0V95, PolL2Vdd_I4, Pex1V0, CjVramMax0V95, PolL2Vdd_I5, RoboBrd1V2, CjVccaux1V8, PolL2Vdd_It, Nco1V8, CjVauxMin1V8, L2Avdd1V0, CpBrd1V8, CjVauxMax1V8, PolL2Avdd_V, Brd2V5, CjMgt1V0, PolL2Avdd_I,</v>
      </c>
      <c r="BK66" s="23"/>
      <c r="BL66" s="35"/>
      <c r="BM66" s="35"/>
      <c r="BN66" s="35"/>
      <c r="BO66" s="35"/>
      <c r="BP66" s="35"/>
      <c r="BQ66" s="35"/>
      <c r="BR66" s="35"/>
      <c r="BT66" s="23"/>
      <c r="BU66" s="23"/>
      <c r="BV66" s="23"/>
      <c r="BW66" s="23"/>
      <c r="BX66" s="23"/>
      <c r="BY66" s="23"/>
      <c r="BZ66" s="23"/>
    </row>
    <row r="67" spans="62:78">
      <c r="BJ67" s="43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PolL2Vdd_T, Psu1Vin, Psu2Vin, PolVint1V0_T, Psu1Iin, Psu2Iin, BrdLocal1_T, Psu1Pin, Psu2Pin, CpDieRmt_T, Psu1Vout, Psu2Vout, CpXadcDie_T, Psu1Iout, Psu2Iout, CpAdcMinDie_T, Psu1Pout, Psu2Pout, CpAdcMaxDie_T, Def1, Abc1, BrdLocal2_T, Def2, Abc2,</v>
      </c>
      <c r="BK67" s="23"/>
      <c r="BL67" s="35"/>
      <c r="BM67" s="35"/>
      <c r="BN67" s="35"/>
      <c r="BO67" s="35"/>
      <c r="BP67" s="35"/>
      <c r="BQ67" s="35"/>
      <c r="BR67" s="35"/>
      <c r="BT67" s="23"/>
      <c r="BU67" s="23"/>
      <c r="BV67" s="23"/>
      <c r="BW67" s="23"/>
      <c r="BX67" s="23"/>
      <c r="BY67" s="23"/>
      <c r="BZ67" s="23"/>
    </row>
    <row r="68" spans="62:78">
      <c r="BJ68" s="43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CjDieRmt_T, Def3, Abc3, CjXadcDie_T, Psu1FanSpd, Psu2FanSpd, CjAdcMinDie_T, Psu1Efficiency, Psu2Efficiency, CjAdcMaxDie_T, Cu1FanSpd1, Cu2FanSpd1, BrdLocal3_T, Cu1FanSpd2, Cu2FanSpd2, L2DieRmt_T, Cu1FanSpd3, Cu2FanSpd3, Def1, Cu1FanSpd4, Cu2FanSpd4, Def2, Cu1FanSpd5, Cu2FanSpd5,</v>
      </c>
      <c r="BK68" s="23"/>
      <c r="BL68" s="35"/>
      <c r="BM68" s="35"/>
      <c r="BN68" s="35"/>
      <c r="BO68" s="35"/>
      <c r="BP68" s="35"/>
      <c r="BQ68" s="35"/>
      <c r="BR68" s="35"/>
      <c r="BT68" s="23"/>
      <c r="BU68" s="23"/>
      <c r="BV68" s="23"/>
      <c r="BW68" s="23"/>
      <c r="BX68" s="23"/>
      <c r="BY68" s="23"/>
      <c r="BZ68" s="23"/>
    </row>
    <row r="69" spans="62:78">
      <c r="BJ69" s="43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"Parm_Index_Last"&amp;"}"</f>
        <v>Def3, Cu1FanSpd6, Cu2FanSpd6, Abc1, Cu1Temp1, Cu2Temp1, Abc2, Cu1Temp2, Cu2Temp2, Abc3, Cu1Temp3, Cu2Temp3, Cu1CtrlTemp, Def3, Abc4, Cu1Remote, Def4, Abc5, Cu2CtrlTemp, Blank46, Blank70, Cu2Remote, Blank47, Blank71,Parm_Index_Last}</v>
      </c>
      <c r="BK69" s="23"/>
      <c r="BL69" s="35"/>
      <c r="BM69" s="35"/>
      <c r="BN69" s="35"/>
      <c r="BO69" s="35"/>
      <c r="BP69" s="35"/>
      <c r="BQ69" s="35"/>
      <c r="BR69" s="35"/>
      <c r="BT69" s="23"/>
      <c r="BU69" s="23"/>
      <c r="BV69" s="23"/>
      <c r="BW69" s="23"/>
      <c r="BX69" s="23"/>
      <c r="BY69" s="23"/>
      <c r="BZ69" s="23"/>
    </row>
    <row r="70" spans="62:78">
      <c r="BJ70" s="23"/>
      <c r="BK70" s="23"/>
      <c r="BL70" s="35"/>
      <c r="BM70" s="35"/>
      <c r="BN70" s="35"/>
      <c r="BO70" s="35"/>
      <c r="BP70" s="35"/>
      <c r="BQ70" s="35"/>
      <c r="BR70" s="35"/>
      <c r="BT70" s="23"/>
      <c r="BU70" s="23"/>
      <c r="BV70" s="23"/>
      <c r="BW70" s="23"/>
      <c r="BX70" s="23"/>
      <c r="BY70" s="23"/>
      <c r="BZ70" s="23"/>
    </row>
    <row r="71" spans="62:78">
      <c r="BJ71" s="23"/>
      <c r="BK71" s="23"/>
      <c r="BL71" s="35"/>
      <c r="BM71" s="35"/>
      <c r="BN71" s="35"/>
      <c r="BO71" s="35"/>
      <c r="BP71" s="35"/>
      <c r="BQ71" s="35"/>
      <c r="BR71" s="35"/>
      <c r="BS71" s="35"/>
      <c r="BT71" s="23"/>
      <c r="BU71" s="23"/>
      <c r="BV71" s="23"/>
      <c r="BW71" s="23"/>
      <c r="BX71" s="23"/>
      <c r="BY71" s="23"/>
      <c r="BZ71" s="23"/>
    </row>
    <row r="72" spans="62:78">
      <c r="BJ72"/>
      <c r="BK72"/>
      <c r="BL72"/>
      <c r="BM72"/>
      <c r="BN72"/>
      <c r="BO72"/>
      <c r="BP72"/>
      <c r="BQ72"/>
      <c r="BR72"/>
      <c r="BS72"/>
      <c r="BT72"/>
      <c r="BW72" s="26"/>
      <c r="BX72" s="26"/>
      <c r="BY72" s="26"/>
      <c r="BZ72" s="26"/>
    </row>
  </sheetData>
  <mergeCells count="288"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U2:Z2"/>
    <mergeCell ref="AV2:BA2"/>
    <mergeCell ref="BW2:CB2"/>
    <mergeCell ref="C8:H8"/>
    <mergeCell ref="J8:M8"/>
    <mergeCell ref="U8:Z8"/>
    <mergeCell ref="AB8:AE8"/>
    <mergeCell ref="AM8:AR8"/>
    <mergeCell ref="AT8:AW8"/>
  </mergeCells>
  <conditionalFormatting sqref="C31:H31 C8:H28 U8:Z31 AM17:AM20 AM21:AR31 AM8:AR16">
    <cfRule type="cellIs" dxfId="20" priority="16" operator="lessThan">
      <formula>17</formula>
    </cfRule>
  </conditionalFormatting>
  <conditionalFormatting sqref="C31 C8:C28 F9:F12 U8:U31 AM8:AM31">
    <cfRule type="cellIs" dxfId="19" priority="15" operator="lessThan">
      <formula>16</formula>
    </cfRule>
  </conditionalFormatting>
  <conditionalFormatting sqref="BD9 BD12 BD15 BD21 BD27 BD18 BD24 BD30">
    <cfRule type="cellIs" dxfId="18" priority="14" stopIfTrue="1" operator="lessThan">
      <formula>"&lt;16"</formula>
    </cfRule>
  </conditionalFormatting>
  <conditionalFormatting sqref="BD8:BF31">
    <cfRule type="cellIs" dxfId="17" priority="12" operator="greaterThan">
      <formula>16</formula>
    </cfRule>
    <cfRule type="cellIs" dxfId="16" priority="13" operator="lessThan">
      <formula>17</formula>
    </cfRule>
  </conditionalFormatting>
  <conditionalFormatting sqref="C30:H30">
    <cfRule type="cellIs" dxfId="15" priority="11" operator="lessThan">
      <formula>17</formula>
    </cfRule>
  </conditionalFormatting>
  <conditionalFormatting sqref="C30">
    <cfRule type="cellIs" dxfId="14" priority="10" operator="lessThan">
      <formula>16</formula>
    </cfRule>
  </conditionalFormatting>
  <conditionalFormatting sqref="V36:Z37 V33:Z34 U32:U37 AM32:AR37 AP38:AR40 AM38:AN40 AO40 X38:Z53 U38:V53 W40:W53 D33:H42 C32:C55 AM41:AR55">
    <cfRule type="cellIs" dxfId="13" priority="9" operator="lessThan">
      <formula>17</formula>
    </cfRule>
  </conditionalFormatting>
  <conditionalFormatting sqref="U32:U53 C32:C55 AM32:AM55">
    <cfRule type="cellIs" dxfId="12" priority="8" operator="lessThan">
      <formula>16</formula>
    </cfRule>
  </conditionalFormatting>
  <conditionalFormatting sqref="BD33 BD36 BD39 BD45 BD51 BD42 BD48 BD54">
    <cfRule type="cellIs" dxfId="11" priority="7" stopIfTrue="1" operator="lessThan">
      <formula>"&lt;16"</formula>
    </cfRule>
  </conditionalFormatting>
  <conditionalFormatting sqref="BD32:BF55">
    <cfRule type="cellIs" dxfId="10" priority="5" operator="greaterThan">
      <formula>16</formula>
    </cfRule>
    <cfRule type="cellIs" dxfId="9" priority="6" operator="lessThan">
      <formula>17</formula>
    </cfRule>
  </conditionalFormatting>
  <conditionalFormatting sqref="U54:Z54">
    <cfRule type="cellIs" dxfId="8" priority="4" operator="lessThan">
      <formula>17</formula>
    </cfRule>
  </conditionalFormatting>
  <conditionalFormatting sqref="U54">
    <cfRule type="cellIs" dxfId="7" priority="3" operator="lessThan">
      <formula>16</formula>
    </cfRule>
  </conditionalFormatting>
  <conditionalFormatting sqref="U55:Z55">
    <cfRule type="cellIs" dxfId="6" priority="2" operator="lessThan">
      <formula>17</formula>
    </cfRule>
  </conditionalFormatting>
  <conditionalFormatting sqref="U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DM57"/>
  <sheetViews>
    <sheetView topLeftCell="A4" zoomScale="70" zoomScaleNormal="70" workbookViewId="0">
      <selection activeCell="BJ49" sqref="BJ49:BR49"/>
    </sheetView>
  </sheetViews>
  <sheetFormatPr defaultRowHeight="14.4"/>
  <cols>
    <col min="1" max="1" width="3.6640625" customWidth="1"/>
    <col min="2" max="2" width="17.88671875" customWidth="1"/>
    <col min="3" max="19" width="3" customWidth="1"/>
    <col min="20" max="20" width="16.33203125" customWidth="1"/>
    <col min="21" max="37" width="3" customWidth="1"/>
    <col min="38" max="38" width="14.109375" customWidth="1"/>
    <col min="39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4" ht="15" thickBot="1">
      <c r="C1" s="30">
        <v>1</v>
      </c>
      <c r="D1" s="31">
        <v>2</v>
      </c>
      <c r="E1" s="31">
        <v>3</v>
      </c>
      <c r="F1" s="31">
        <v>4</v>
      </c>
      <c r="G1" s="31">
        <v>5</v>
      </c>
      <c r="H1" s="31">
        <v>6</v>
      </c>
      <c r="I1" s="31">
        <v>7</v>
      </c>
      <c r="J1" s="31">
        <v>8</v>
      </c>
      <c r="K1" s="31">
        <v>9</v>
      </c>
      <c r="L1" s="31">
        <v>10</v>
      </c>
      <c r="M1" s="31">
        <v>11</v>
      </c>
      <c r="N1" s="31">
        <v>12</v>
      </c>
      <c r="O1" s="31">
        <v>13</v>
      </c>
      <c r="P1" s="31">
        <v>14</v>
      </c>
      <c r="Q1" s="31">
        <v>15</v>
      </c>
      <c r="R1" s="31">
        <v>16</v>
      </c>
      <c r="S1" s="31">
        <v>17</v>
      </c>
      <c r="T1" s="31">
        <v>18</v>
      </c>
      <c r="U1" s="31">
        <v>19</v>
      </c>
      <c r="V1" s="31">
        <v>20</v>
      </c>
      <c r="W1" s="31">
        <v>21</v>
      </c>
      <c r="X1" s="31">
        <v>22</v>
      </c>
      <c r="Y1" s="31">
        <v>23</v>
      </c>
      <c r="Z1" s="31">
        <v>24</v>
      </c>
      <c r="AA1" s="31">
        <v>25</v>
      </c>
      <c r="AB1" s="31">
        <v>26</v>
      </c>
      <c r="AC1" s="31">
        <v>27</v>
      </c>
      <c r="AD1" s="31">
        <v>28</v>
      </c>
      <c r="AE1" s="31">
        <v>29</v>
      </c>
      <c r="AF1" s="31">
        <v>30</v>
      </c>
      <c r="AG1" s="31">
        <v>31</v>
      </c>
      <c r="AH1" s="31">
        <v>32</v>
      </c>
      <c r="AI1" s="31">
        <v>33</v>
      </c>
      <c r="AJ1" s="31">
        <v>34</v>
      </c>
      <c r="AK1" s="31">
        <v>35</v>
      </c>
      <c r="AL1" s="31">
        <v>36</v>
      </c>
      <c r="AM1" s="31">
        <v>37</v>
      </c>
      <c r="AN1" s="31">
        <v>38</v>
      </c>
      <c r="AO1" s="31">
        <v>39</v>
      </c>
      <c r="AP1" s="31">
        <v>40</v>
      </c>
      <c r="AQ1" s="31">
        <v>41</v>
      </c>
      <c r="AR1" s="31">
        <v>42</v>
      </c>
      <c r="AS1" s="31">
        <v>43</v>
      </c>
      <c r="AT1" s="31">
        <v>44</v>
      </c>
      <c r="AU1" s="31">
        <v>45</v>
      </c>
      <c r="AV1" s="31">
        <v>46</v>
      </c>
      <c r="AW1" s="31">
        <v>47</v>
      </c>
      <c r="AX1" s="31">
        <v>48</v>
      </c>
      <c r="AY1" s="31">
        <v>49</v>
      </c>
      <c r="AZ1" s="31">
        <v>50</v>
      </c>
      <c r="BA1" s="31">
        <v>51</v>
      </c>
      <c r="BB1" s="31">
        <v>52</v>
      </c>
      <c r="BC1" s="32">
        <v>53</v>
      </c>
      <c r="BD1" s="32">
        <v>54</v>
      </c>
      <c r="BE1" s="32">
        <v>55</v>
      </c>
      <c r="BF1" s="32">
        <v>56</v>
      </c>
      <c r="BG1" s="32">
        <v>57</v>
      </c>
      <c r="BH1" s="32">
        <v>58</v>
      </c>
      <c r="BI1" s="32">
        <v>59</v>
      </c>
      <c r="BJ1" s="32">
        <v>60</v>
      </c>
      <c r="BK1" s="32">
        <v>61</v>
      </c>
      <c r="BL1" s="32">
        <v>62</v>
      </c>
      <c r="BM1" s="32">
        <v>63</v>
      </c>
      <c r="BN1" s="32">
        <v>64</v>
      </c>
      <c r="BO1" s="32">
        <v>65</v>
      </c>
      <c r="BP1" s="32">
        <v>66</v>
      </c>
      <c r="BQ1" s="32">
        <v>67</v>
      </c>
      <c r="BR1" s="32">
        <v>68</v>
      </c>
      <c r="BS1" s="32">
        <v>69</v>
      </c>
      <c r="BT1" s="32">
        <v>70</v>
      </c>
      <c r="BU1" s="32">
        <v>71</v>
      </c>
      <c r="BV1" s="32">
        <v>72</v>
      </c>
      <c r="BW1" s="31">
        <v>73</v>
      </c>
      <c r="BX1" s="31">
        <v>74</v>
      </c>
      <c r="BY1" s="31">
        <v>75</v>
      </c>
      <c r="BZ1" s="31">
        <v>76</v>
      </c>
      <c r="CA1" s="31">
        <v>77</v>
      </c>
      <c r="CB1" s="31">
        <v>78</v>
      </c>
      <c r="CC1" s="31">
        <v>79</v>
      </c>
      <c r="CD1" s="33">
        <v>80</v>
      </c>
      <c r="CJ1" t="s">
        <v>122</v>
      </c>
      <c r="CK1" t="s">
        <v>253</v>
      </c>
      <c r="CX1">
        <v>0</v>
      </c>
    </row>
    <row r="2" spans="1:104" ht="15" thickBot="1">
      <c r="C2" s="17" t="s">
        <v>3</v>
      </c>
      <c r="D2" s="18"/>
      <c r="E2" s="18"/>
      <c r="F2" s="18"/>
      <c r="G2" s="18"/>
      <c r="H2" s="18">
        <v>16</v>
      </c>
      <c r="I2" s="18"/>
      <c r="J2" s="18"/>
      <c r="K2" s="18"/>
      <c r="L2" s="18"/>
      <c r="M2" s="18"/>
      <c r="N2" s="18"/>
      <c r="O2" s="18"/>
      <c r="P2" s="18"/>
      <c r="Q2" s="18"/>
      <c r="R2" s="18"/>
      <c r="S2" s="2" t="s">
        <v>2</v>
      </c>
      <c r="T2" s="4"/>
      <c r="U2" s="100" t="s">
        <v>58</v>
      </c>
      <c r="V2" s="101"/>
      <c r="W2" s="101"/>
      <c r="X2" s="101"/>
      <c r="Y2" s="101"/>
      <c r="Z2" s="102"/>
      <c r="AA2" s="3" t="s">
        <v>4</v>
      </c>
      <c r="AB2" s="13" t="s">
        <v>2</v>
      </c>
      <c r="AC2" s="14"/>
      <c r="AD2" s="17" t="s">
        <v>3</v>
      </c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2" t="s">
        <v>2</v>
      </c>
      <c r="AU2" s="4"/>
      <c r="AV2" s="100" t="s">
        <v>58</v>
      </c>
      <c r="AW2" s="101"/>
      <c r="AX2" s="101"/>
      <c r="AY2" s="101"/>
      <c r="AZ2" s="101"/>
      <c r="BA2" s="102"/>
      <c r="BB2" s="3" t="s">
        <v>4</v>
      </c>
      <c r="BC2" s="27" t="s">
        <v>2</v>
      </c>
      <c r="BD2" s="28"/>
      <c r="BE2" s="27" t="s">
        <v>3</v>
      </c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7" t="s">
        <v>2</v>
      </c>
      <c r="BV2" s="29"/>
      <c r="BW2" s="100" t="s">
        <v>58</v>
      </c>
      <c r="BX2" s="101"/>
      <c r="BY2" s="101"/>
      <c r="BZ2" s="101"/>
      <c r="CA2" s="101"/>
      <c r="CB2" s="102"/>
      <c r="CC2" s="19" t="s">
        <v>4</v>
      </c>
      <c r="CD2" s="21" t="s">
        <v>2</v>
      </c>
      <c r="CE2" s="20"/>
      <c r="CJ2" s="25" t="s">
        <v>12</v>
      </c>
      <c r="CK2" t="s">
        <v>59</v>
      </c>
    </row>
    <row r="3" spans="1:104" ht="15" thickBot="1">
      <c r="C3" s="3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30"/>
      <c r="V3" s="31"/>
      <c r="W3" s="31"/>
      <c r="X3" s="31"/>
      <c r="Y3" s="31"/>
      <c r="Z3" s="3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40"/>
      <c r="AZ3" s="23"/>
      <c r="BA3" s="23"/>
      <c r="BB3" s="23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23"/>
      <c r="BX3" s="23"/>
      <c r="BY3" s="23"/>
      <c r="BZ3" s="40"/>
      <c r="CA3" s="23"/>
      <c r="CB3" s="23"/>
      <c r="CC3" s="23"/>
      <c r="CD3" s="36"/>
      <c r="CH3" s="26"/>
      <c r="CI3" s="26"/>
      <c r="CJ3" s="25" t="s">
        <v>60</v>
      </c>
      <c r="CK3" s="26" t="s">
        <v>61</v>
      </c>
      <c r="CL3" s="26" t="s">
        <v>62</v>
      </c>
      <c r="CM3" s="26"/>
      <c r="CN3" s="26"/>
      <c r="CO3" s="26"/>
    </row>
    <row r="4" spans="1:104"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6">
        <v>0</v>
      </c>
      <c r="V4" s="7"/>
      <c r="W4" s="42" t="s">
        <v>10</v>
      </c>
      <c r="X4" s="42"/>
      <c r="Y4" s="42"/>
      <c r="Z4" s="42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23"/>
      <c r="BX4" s="23"/>
      <c r="BY4" s="23"/>
      <c r="BZ4" s="23"/>
      <c r="CA4" s="23"/>
      <c r="CB4" s="23"/>
      <c r="CC4" s="23"/>
      <c r="CD4" s="36"/>
      <c r="CH4" s="25"/>
      <c r="CI4" s="26"/>
      <c r="CJ4" s="25" t="s">
        <v>60</v>
      </c>
      <c r="CK4" s="26" t="s">
        <v>63</v>
      </c>
      <c r="CL4" s="26" t="s">
        <v>64</v>
      </c>
      <c r="CM4" s="26"/>
      <c r="CN4" s="26"/>
      <c r="CO4" s="26"/>
    </row>
    <row r="5" spans="1:104">
      <c r="C5" s="34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10">
        <v>1</v>
      </c>
      <c r="V5" s="1"/>
      <c r="W5" s="41" t="s">
        <v>9</v>
      </c>
      <c r="X5" s="41"/>
      <c r="Y5" s="41"/>
      <c r="Z5" s="41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23"/>
      <c r="BX5" s="23"/>
      <c r="BY5" s="23"/>
      <c r="BZ5" s="23"/>
      <c r="CA5" s="23"/>
      <c r="CB5" s="23"/>
      <c r="CC5" s="23"/>
      <c r="CD5" s="36"/>
      <c r="CH5" s="25"/>
      <c r="CI5" s="26"/>
      <c r="CJ5" s="25" t="s">
        <v>65</v>
      </c>
      <c r="CK5" s="26" t="s">
        <v>66</v>
      </c>
      <c r="CL5" s="26"/>
      <c r="CM5" s="26"/>
      <c r="CN5" s="26"/>
      <c r="CO5" s="26"/>
    </row>
    <row r="6" spans="1:104">
      <c r="C6" s="34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10">
        <v>2</v>
      </c>
      <c r="V6" s="1"/>
      <c r="W6" s="41" t="s">
        <v>315</v>
      </c>
      <c r="X6" s="41"/>
      <c r="Y6" s="41"/>
      <c r="Z6" s="41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23"/>
      <c r="BX6" s="23"/>
      <c r="BY6" s="23"/>
      <c r="BZ6" s="23"/>
      <c r="CA6" s="23"/>
      <c r="CB6" s="23"/>
      <c r="CC6" s="23"/>
      <c r="CD6" s="36"/>
      <c r="CH6" s="25"/>
      <c r="CI6" s="26"/>
      <c r="CJ6" s="26" t="s">
        <v>60</v>
      </c>
      <c r="CK6" s="26" t="s">
        <v>67</v>
      </c>
      <c r="CL6" s="26"/>
      <c r="CM6" s="26"/>
      <c r="CN6" s="26"/>
      <c r="CO6" s="26"/>
    </row>
    <row r="7" spans="1:104">
      <c r="C7" s="34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10">
        <v>3</v>
      </c>
      <c r="V7" s="1"/>
      <c r="W7" s="41" t="s">
        <v>11</v>
      </c>
      <c r="X7" s="41"/>
      <c r="Y7" s="41"/>
      <c r="Z7" s="41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23"/>
      <c r="BX7" s="23"/>
      <c r="BY7" s="23"/>
      <c r="BZ7" s="23"/>
      <c r="CA7" s="23"/>
      <c r="CB7" s="23"/>
      <c r="CC7" s="23"/>
      <c r="CD7" s="36"/>
      <c r="CH7" s="25"/>
      <c r="CI7" s="26"/>
      <c r="CJ7" s="25" t="s">
        <v>60</v>
      </c>
      <c r="CK7" s="26" t="s">
        <v>68</v>
      </c>
      <c r="CL7" s="26" t="s">
        <v>62</v>
      </c>
      <c r="CM7" s="26"/>
      <c r="CN7" s="26"/>
      <c r="CO7" s="26"/>
    </row>
    <row r="8" spans="1:104" ht="15" thickBot="1">
      <c r="C8" s="34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4">
        <v>4</v>
      </c>
      <c r="V8" s="12"/>
      <c r="W8" s="12"/>
      <c r="X8" s="12"/>
      <c r="Y8" s="12"/>
      <c r="Z8" s="12"/>
      <c r="AA8" s="103" t="s">
        <v>113</v>
      </c>
      <c r="AB8" s="103"/>
      <c r="AC8" s="103"/>
      <c r="AD8" s="103"/>
      <c r="AE8" s="103"/>
      <c r="AF8" s="104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23"/>
      <c r="BX8" s="23"/>
      <c r="BY8" s="23"/>
      <c r="BZ8" s="23"/>
      <c r="CA8" s="23"/>
      <c r="CB8" s="23"/>
      <c r="CC8" s="23"/>
      <c r="CD8" s="36"/>
      <c r="CH8" s="25"/>
      <c r="CI8" s="26"/>
      <c r="CJ8" s="25" t="s">
        <v>60</v>
      </c>
      <c r="CK8" s="26" t="s">
        <v>69</v>
      </c>
      <c r="CL8" s="26" t="s">
        <v>64</v>
      </c>
      <c r="CM8" s="26"/>
      <c r="CN8" s="26"/>
      <c r="CO8" s="26"/>
    </row>
    <row r="9" spans="1:104" ht="15" thickBot="1">
      <c r="C9" s="34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23"/>
      <c r="BX9" s="23"/>
      <c r="BY9" s="23"/>
      <c r="BZ9" s="23"/>
      <c r="CA9" s="23"/>
      <c r="CB9" s="23"/>
      <c r="CC9" s="23"/>
      <c r="CD9" s="36"/>
      <c r="CH9" s="25"/>
      <c r="CI9" s="26"/>
      <c r="CJ9" t="s">
        <v>12</v>
      </c>
      <c r="CK9" s="26" t="s">
        <v>13</v>
      </c>
      <c r="CL9" s="26"/>
      <c r="CM9" s="26"/>
      <c r="CN9" s="26"/>
      <c r="CO9" s="26"/>
    </row>
    <row r="10" spans="1:104" ht="15" thickBot="1">
      <c r="C10" s="34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100" t="s">
        <v>7</v>
      </c>
      <c r="V10" s="101"/>
      <c r="W10" s="101"/>
      <c r="X10" s="101"/>
      <c r="Y10" s="101"/>
      <c r="Z10" s="102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100" t="s">
        <v>7</v>
      </c>
      <c r="AW10" s="101"/>
      <c r="AX10" s="101"/>
      <c r="AY10" s="101"/>
      <c r="AZ10" s="101"/>
      <c r="BA10" s="102"/>
      <c r="BB10" s="23"/>
      <c r="BC10" s="35"/>
      <c r="BD10" s="35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100" t="s">
        <v>7</v>
      </c>
      <c r="BX10" s="101"/>
      <c r="BY10" s="101"/>
      <c r="BZ10" s="101"/>
      <c r="CA10" s="101"/>
      <c r="CB10" s="102"/>
      <c r="CC10" s="23"/>
      <c r="CD10" s="36"/>
      <c r="CH10" s="25"/>
      <c r="CI10" s="26"/>
      <c r="CK10" s="26"/>
      <c r="CL10" s="26"/>
      <c r="CM10" s="26"/>
      <c r="CN10" s="26"/>
      <c r="CO10" s="26"/>
    </row>
    <row r="11" spans="1:104" ht="24.6" thickBot="1">
      <c r="C11" s="100" t="s">
        <v>5</v>
      </c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2"/>
      <c r="S11" s="37"/>
      <c r="T11" s="37"/>
      <c r="U11" s="100" t="s">
        <v>6</v>
      </c>
      <c r="V11" s="101"/>
      <c r="W11" s="101"/>
      <c r="X11" s="101"/>
      <c r="Y11" s="101"/>
      <c r="Z11" s="102"/>
      <c r="AA11" s="24" t="s">
        <v>4</v>
      </c>
      <c r="AB11" s="37"/>
      <c r="AC11" s="37"/>
      <c r="AD11" s="100" t="s">
        <v>5</v>
      </c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2"/>
      <c r="AT11" s="37"/>
      <c r="AU11" s="37"/>
      <c r="AV11" s="100" t="s">
        <v>6</v>
      </c>
      <c r="AW11" s="101"/>
      <c r="AX11" s="101"/>
      <c r="AY11" s="101"/>
      <c r="AZ11" s="101"/>
      <c r="BA11" s="102"/>
      <c r="BB11" s="24" t="s">
        <v>4</v>
      </c>
      <c r="BC11" s="38"/>
      <c r="BD11" s="38"/>
      <c r="BE11" s="100" t="s">
        <v>5</v>
      </c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1"/>
      <c r="BS11" s="101"/>
      <c r="BT11" s="102"/>
      <c r="BU11" s="37"/>
      <c r="BV11" s="37"/>
      <c r="BW11" s="100" t="s">
        <v>6</v>
      </c>
      <c r="BX11" s="101"/>
      <c r="BY11" s="101"/>
      <c r="BZ11" s="101"/>
      <c r="CA11" s="101"/>
      <c r="CB11" s="102"/>
      <c r="CC11" s="24" t="s">
        <v>4</v>
      </c>
      <c r="CD11" s="39"/>
      <c r="CH11" s="25"/>
      <c r="CJ11" s="26"/>
    </row>
    <row r="12" spans="1:104"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>
        <v>2</v>
      </c>
      <c r="R12" s="82"/>
      <c r="U12" s="22"/>
      <c r="V12" s="22"/>
      <c r="W12" s="22"/>
      <c r="X12" s="22"/>
      <c r="Y12" s="22"/>
      <c r="Z12" s="22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</row>
    <row r="13" spans="1:104" ht="15" thickBot="1">
      <c r="B13" t="s">
        <v>122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122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122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6"/>
      <c r="BD13" s="26"/>
      <c r="BE13" s="26"/>
      <c r="BF13" s="26"/>
      <c r="BG13" s="26"/>
      <c r="BH13" s="26"/>
      <c r="BI13" s="26"/>
      <c r="BJ13" s="26" t="s">
        <v>291</v>
      </c>
      <c r="BK13" s="26"/>
      <c r="BO13" s="26"/>
      <c r="BP13" s="26"/>
      <c r="BQ13" s="26"/>
      <c r="BR13" s="26"/>
      <c r="BS13" s="26"/>
      <c r="BT13" s="26"/>
      <c r="BU13" s="26"/>
    </row>
    <row r="14" spans="1:104">
      <c r="A14">
        <v>1</v>
      </c>
      <c r="B14" s="30" t="str">
        <f>SUBSTITUTE(PROPER(C14)," ","")</f>
        <v>Port_Exp_0</v>
      </c>
      <c r="C14" s="158" t="s">
        <v>425</v>
      </c>
      <c r="D14" s="158"/>
      <c r="E14" s="158"/>
      <c r="F14" s="158"/>
      <c r="G14" s="158"/>
      <c r="H14" s="158"/>
      <c r="I14" s="31"/>
      <c r="J14" s="108">
        <v>0</v>
      </c>
      <c r="K14" s="109"/>
      <c r="L14" s="109"/>
      <c r="M14" s="110"/>
      <c r="N14" s="31"/>
      <c r="O14" s="16">
        <v>3</v>
      </c>
      <c r="P14" s="53"/>
      <c r="Q14" s="31"/>
      <c r="R14" s="1" t="s">
        <v>427</v>
      </c>
      <c r="S14" s="31"/>
      <c r="T14" s="30" t="str">
        <f t="shared" ref="T14:T37" si="0">SUBSTITUTE(PROPER(U14)," ","")</f>
        <v/>
      </c>
      <c r="U14" s="121"/>
      <c r="V14" s="121"/>
      <c r="W14" s="121"/>
      <c r="X14" s="121"/>
      <c r="Y14" s="121"/>
      <c r="Z14" s="121"/>
      <c r="AA14" s="31"/>
      <c r="AB14" s="108">
        <v>0</v>
      </c>
      <c r="AC14" s="109"/>
      <c r="AD14" s="109"/>
      <c r="AE14" s="110"/>
      <c r="AF14" s="31"/>
      <c r="AG14" s="52">
        <v>0</v>
      </c>
      <c r="AH14" s="53"/>
      <c r="AI14" s="31"/>
      <c r="AJ14" s="9" t="s">
        <v>14</v>
      </c>
      <c r="AK14" s="31"/>
      <c r="AL14" s="30" t="str">
        <f>SUBSTITUTE(PROPER(AM14)," ","")</f>
        <v/>
      </c>
      <c r="AM14" s="126"/>
      <c r="AN14" s="126"/>
      <c r="AO14" s="126"/>
      <c r="AP14" s="126"/>
      <c r="AQ14" s="126"/>
      <c r="AR14" s="126"/>
      <c r="AS14" s="31"/>
      <c r="AT14" s="108">
        <v>0</v>
      </c>
      <c r="AU14" s="109"/>
      <c r="AV14" s="109"/>
      <c r="AW14" s="110"/>
      <c r="AX14" s="31"/>
      <c r="AY14" s="52">
        <v>1</v>
      </c>
      <c r="AZ14" s="53"/>
      <c r="BA14" s="31"/>
      <c r="BB14" s="9" t="s">
        <v>14</v>
      </c>
      <c r="BC14" s="32"/>
      <c r="BD14" s="32">
        <f>LEN(C20)</f>
        <v>0</v>
      </c>
      <c r="BE14" s="32">
        <f t="shared" ref="BE14:BE37" si="1">LEN(U15)</f>
        <v>0</v>
      </c>
      <c r="BF14" s="58">
        <f>LEN(AM14)</f>
        <v>0</v>
      </c>
      <c r="BG14" s="26"/>
      <c r="BH14" s="26"/>
      <c r="BI14" s="26"/>
      <c r="BJ14" s="67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2"/>
      <c r="BL14" s="31"/>
      <c r="BM14" s="31"/>
      <c r="BN14" s="32"/>
      <c r="BO14" s="32"/>
      <c r="BP14" s="32"/>
      <c r="BQ14" s="32"/>
      <c r="BR14" s="32"/>
      <c r="BS14" s="32"/>
      <c r="BT14" s="32"/>
      <c r="BU14" s="32"/>
      <c r="BV14" s="32"/>
      <c r="BW14" s="31"/>
      <c r="BX14" s="31"/>
      <c r="BY14" s="31"/>
      <c r="BZ14" s="32"/>
      <c r="CA14" s="31"/>
      <c r="CB14" s="32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2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3"/>
    </row>
    <row r="15" spans="1:104">
      <c r="A15">
        <v>2</v>
      </c>
      <c r="B15" s="34" t="str">
        <f t="shared" ref="B15:B36" si="4">SUBSTITUTE(PROPER(C15)," ","")</f>
        <v>Port_Exp_1</v>
      </c>
      <c r="C15" s="158" t="s">
        <v>426</v>
      </c>
      <c r="D15" s="158"/>
      <c r="E15" s="158"/>
      <c r="F15" s="158"/>
      <c r="G15" s="158"/>
      <c r="H15" s="158"/>
      <c r="I15" s="23"/>
      <c r="J15" s="105">
        <v>0</v>
      </c>
      <c r="K15" s="106"/>
      <c r="L15" s="106"/>
      <c r="M15" s="107"/>
      <c r="N15" s="23"/>
      <c r="O15" s="16">
        <v>3</v>
      </c>
      <c r="P15" s="22"/>
      <c r="Q15" s="23"/>
      <c r="R15" s="1" t="s">
        <v>427</v>
      </c>
      <c r="S15" s="23"/>
      <c r="T15" s="34" t="str">
        <f t="shared" si="0"/>
        <v/>
      </c>
      <c r="U15" s="111"/>
      <c r="V15" s="111"/>
      <c r="W15" s="111"/>
      <c r="X15" s="111"/>
      <c r="Y15" s="111"/>
      <c r="Z15" s="111"/>
      <c r="AA15" s="23"/>
      <c r="AB15" s="105">
        <v>0</v>
      </c>
      <c r="AC15" s="106"/>
      <c r="AD15" s="106"/>
      <c r="AE15" s="107"/>
      <c r="AF15" s="23"/>
      <c r="AG15" s="16">
        <v>0</v>
      </c>
      <c r="AH15" s="22"/>
      <c r="AI15" s="23"/>
      <c r="AJ15" s="11" t="s">
        <v>14</v>
      </c>
      <c r="AK15" s="23"/>
      <c r="AL15" s="34" t="str">
        <f t="shared" ref="AL15:AL37" si="5">SUBSTITUTE(PROPER(AM15)," ","")</f>
        <v/>
      </c>
      <c r="AM15" s="130"/>
      <c r="AN15" s="130"/>
      <c r="AO15" s="130"/>
      <c r="AP15" s="130"/>
      <c r="AQ15" s="130"/>
      <c r="AR15" s="130"/>
      <c r="AS15" s="23"/>
      <c r="AT15" s="105">
        <v>0</v>
      </c>
      <c r="AU15" s="106"/>
      <c r="AV15" s="106"/>
      <c r="AW15" s="107"/>
      <c r="AX15" s="23"/>
      <c r="AY15" s="16">
        <v>0</v>
      </c>
      <c r="AZ15" s="22"/>
      <c r="BA15" s="23"/>
      <c r="BB15" s="11" t="s">
        <v>0</v>
      </c>
      <c r="BC15" s="35"/>
      <c r="BD15" s="35">
        <f>LEN(C21)</f>
        <v>0</v>
      </c>
      <c r="BE15" s="35">
        <f t="shared" si="1"/>
        <v>0</v>
      </c>
      <c r="BF15" s="59">
        <f t="shared" ref="BF15:BF37" si="6">LEN(AM15)</f>
        <v>0</v>
      </c>
      <c r="BG15" s="26"/>
      <c r="BH15" s="26"/>
      <c r="BI15" s="26"/>
      <c r="BJ15" s="68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5"/>
      <c r="BL15" s="23"/>
      <c r="BM15" s="23"/>
      <c r="BN15" s="35"/>
      <c r="BO15" s="35"/>
      <c r="BP15" s="35"/>
      <c r="BQ15" s="35"/>
      <c r="BR15" s="35"/>
      <c r="BS15" s="35"/>
      <c r="BT15" s="35"/>
      <c r="BU15" s="35"/>
      <c r="BV15" s="35"/>
      <c r="BW15" s="23"/>
      <c r="BX15" s="23"/>
      <c r="BY15" s="23"/>
      <c r="BZ15" s="35"/>
      <c r="CA15" s="23"/>
      <c r="CB15" s="35" t="str">
        <f t="shared" si="2"/>
        <v>{, "", 2, 28, 0, 0, 2, 46,"V"},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35" t="str">
        <f t="shared" si="3"/>
        <v>{, "", 2, 55, 0, 0, 2, 73,"A"},</v>
      </c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36"/>
    </row>
    <row r="16" spans="1:104">
      <c r="A16">
        <v>3</v>
      </c>
      <c r="B16" s="34" t="str">
        <f t="shared" si="4"/>
        <v/>
      </c>
      <c r="C16" s="158"/>
      <c r="D16" s="158"/>
      <c r="E16" s="158"/>
      <c r="F16" s="158"/>
      <c r="G16" s="158"/>
      <c r="H16" s="158"/>
      <c r="I16" s="23"/>
      <c r="J16" s="105">
        <v>0</v>
      </c>
      <c r="K16" s="106"/>
      <c r="L16" s="106"/>
      <c r="M16" s="107"/>
      <c r="N16" s="23"/>
      <c r="O16" s="16">
        <v>1</v>
      </c>
      <c r="P16" s="22"/>
      <c r="Q16" s="23"/>
      <c r="R16" s="1" t="s">
        <v>14</v>
      </c>
      <c r="S16" s="23"/>
      <c r="T16" s="34" t="str">
        <f t="shared" si="0"/>
        <v/>
      </c>
      <c r="U16" s="111"/>
      <c r="V16" s="111"/>
      <c r="W16" s="111"/>
      <c r="X16" s="111"/>
      <c r="Y16" s="111"/>
      <c r="Z16" s="111"/>
      <c r="AA16" s="23"/>
      <c r="AB16" s="105">
        <v>0</v>
      </c>
      <c r="AC16" s="106"/>
      <c r="AD16" s="106"/>
      <c r="AE16" s="107"/>
      <c r="AF16" s="23"/>
      <c r="AG16" s="16">
        <v>0</v>
      </c>
      <c r="AH16" s="22"/>
      <c r="AI16" s="23"/>
      <c r="AJ16" s="11" t="s">
        <v>14</v>
      </c>
      <c r="AK16" s="23"/>
      <c r="AL16" s="34" t="str">
        <f t="shared" si="5"/>
        <v/>
      </c>
      <c r="AM16" s="130"/>
      <c r="AN16" s="130"/>
      <c r="AO16" s="130"/>
      <c r="AP16" s="130"/>
      <c r="AQ16" s="130"/>
      <c r="AR16" s="130"/>
      <c r="AS16" s="23"/>
      <c r="AT16" s="105">
        <v>0</v>
      </c>
      <c r="AU16" s="106"/>
      <c r="AV16" s="106"/>
      <c r="AW16" s="107"/>
      <c r="AX16" s="23"/>
      <c r="AY16" s="16">
        <v>0</v>
      </c>
      <c r="AZ16" s="22"/>
      <c r="BA16" s="23"/>
      <c r="BB16" s="11" t="s">
        <v>14</v>
      </c>
      <c r="BC16" s="35"/>
      <c r="BD16" s="35">
        <f>LEN(C22)</f>
        <v>0</v>
      </c>
      <c r="BE16" s="35">
        <f t="shared" si="1"/>
        <v>0</v>
      </c>
      <c r="BF16" s="59">
        <f t="shared" si="6"/>
        <v>0</v>
      </c>
      <c r="BG16" s="26"/>
      <c r="BH16" s="26"/>
      <c r="BI16" s="26"/>
      <c r="BJ16" s="68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5"/>
      <c r="BL16" s="23"/>
      <c r="BM16" s="23"/>
      <c r="BN16" s="35"/>
      <c r="BO16" s="35"/>
      <c r="BP16" s="35"/>
      <c r="BQ16" s="35"/>
      <c r="BR16" s="35"/>
      <c r="BS16" s="35"/>
      <c r="BT16" s="35"/>
      <c r="BU16" s="35"/>
      <c r="BV16" s="35"/>
      <c r="BW16" s="23"/>
      <c r="BX16" s="23"/>
      <c r="BY16" s="23"/>
      <c r="BZ16" s="35"/>
      <c r="CA16" s="23"/>
      <c r="CB16" s="35" t="str">
        <f t="shared" si="2"/>
        <v>{, "", 3, 28, 0, 0, 3, 46,"V"},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35" t="str">
        <f t="shared" si="3"/>
        <v>{, "", 3, 55, 0, 0, 3, 73,"V"},</v>
      </c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36"/>
    </row>
    <row r="17" spans="1:104">
      <c r="A17">
        <v>4</v>
      </c>
      <c r="B17" s="34" t="str">
        <f t="shared" si="4"/>
        <v/>
      </c>
      <c r="C17" s="158"/>
      <c r="D17" s="158"/>
      <c r="E17" s="158"/>
      <c r="F17" s="158"/>
      <c r="G17" s="158"/>
      <c r="H17" s="158"/>
      <c r="I17" s="23"/>
      <c r="J17" s="105">
        <v>0</v>
      </c>
      <c r="K17" s="106"/>
      <c r="L17" s="106"/>
      <c r="M17" s="107"/>
      <c r="N17" s="23"/>
      <c r="O17" s="16">
        <v>1</v>
      </c>
      <c r="P17" s="22"/>
      <c r="Q17" s="23"/>
      <c r="R17" s="1" t="s">
        <v>14</v>
      </c>
      <c r="S17" s="23"/>
      <c r="T17" s="34" t="str">
        <f t="shared" si="0"/>
        <v/>
      </c>
      <c r="U17" s="111"/>
      <c r="V17" s="111"/>
      <c r="W17" s="111"/>
      <c r="X17" s="111"/>
      <c r="Y17" s="111"/>
      <c r="Z17" s="111"/>
      <c r="AA17" s="23"/>
      <c r="AB17" s="105">
        <v>0</v>
      </c>
      <c r="AC17" s="106"/>
      <c r="AD17" s="106"/>
      <c r="AE17" s="107"/>
      <c r="AF17" s="23"/>
      <c r="AG17" s="16">
        <v>0</v>
      </c>
      <c r="AH17" s="22"/>
      <c r="AI17" s="23"/>
      <c r="AJ17" s="11" t="s">
        <v>0</v>
      </c>
      <c r="AK17" s="23"/>
      <c r="AL17" s="34" t="str">
        <f t="shared" si="5"/>
        <v/>
      </c>
      <c r="AM17" s="130"/>
      <c r="AN17" s="130"/>
      <c r="AO17" s="130"/>
      <c r="AP17" s="130"/>
      <c r="AQ17" s="130"/>
      <c r="AR17" s="130"/>
      <c r="AS17" s="23"/>
      <c r="AT17" s="105">
        <v>0</v>
      </c>
      <c r="AU17" s="106"/>
      <c r="AV17" s="106"/>
      <c r="AW17" s="107"/>
      <c r="AX17" s="23"/>
      <c r="AY17" s="16">
        <v>0</v>
      </c>
      <c r="AZ17" s="22"/>
      <c r="BA17" s="23"/>
      <c r="BB17" s="11" t="s">
        <v>14</v>
      </c>
      <c r="BC17" s="35"/>
      <c r="BD17" s="35">
        <f t="shared" ref="BD17:BD22" si="8">LEN(C14)</f>
        <v>10</v>
      </c>
      <c r="BE17" s="35">
        <f t="shared" si="1"/>
        <v>0</v>
      </c>
      <c r="BF17" s="59">
        <f t="shared" si="6"/>
        <v>0</v>
      </c>
      <c r="BG17" s="26"/>
      <c r="BH17" s="26"/>
      <c r="BI17" s="26"/>
      <c r="BJ17" s="68" t="str">
        <f t="shared" si="7"/>
        <v>{, "", 4, 1, 0, 1, 4, 19,"V"},</v>
      </c>
      <c r="BK17" s="35"/>
      <c r="BL17" s="23"/>
      <c r="BM17" s="23"/>
      <c r="BN17" s="35"/>
      <c r="BO17" s="35"/>
      <c r="BP17" s="35"/>
      <c r="BQ17" s="35"/>
      <c r="BR17" s="35"/>
      <c r="BS17" s="35"/>
      <c r="BT17" s="35"/>
      <c r="BU17" s="35"/>
      <c r="BV17" s="35"/>
      <c r="BW17" s="23"/>
      <c r="BX17" s="23"/>
      <c r="BY17" s="23"/>
      <c r="BZ17" s="35"/>
      <c r="CA17" s="23"/>
      <c r="CB17" s="35" t="str">
        <f t="shared" si="2"/>
        <v>{, "", 4, 28, 0, 0, 4, 46,"A"},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35" t="str">
        <f t="shared" si="3"/>
        <v>{, "", 4, 55, 0, 0, 4, 73,"V"},</v>
      </c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36"/>
    </row>
    <row r="18" spans="1:104">
      <c r="A18">
        <v>5</v>
      </c>
      <c r="B18" s="34" t="str">
        <f t="shared" si="4"/>
        <v/>
      </c>
      <c r="C18" s="158"/>
      <c r="D18" s="158"/>
      <c r="E18" s="158"/>
      <c r="F18" s="158"/>
      <c r="G18" s="158"/>
      <c r="H18" s="158"/>
      <c r="I18" s="23"/>
      <c r="J18" s="105">
        <v>0</v>
      </c>
      <c r="K18" s="106"/>
      <c r="L18" s="106"/>
      <c r="M18" s="107"/>
      <c r="N18" s="23"/>
      <c r="O18" s="16">
        <v>1</v>
      </c>
      <c r="P18" s="22"/>
      <c r="Q18" s="23"/>
      <c r="R18" s="1" t="s">
        <v>14</v>
      </c>
      <c r="S18" s="23"/>
      <c r="T18" s="34" t="str">
        <f t="shared" si="0"/>
        <v/>
      </c>
      <c r="U18" s="111"/>
      <c r="V18" s="111"/>
      <c r="W18" s="111"/>
      <c r="X18" s="111"/>
      <c r="Y18" s="111"/>
      <c r="Z18" s="111"/>
      <c r="AA18" s="23"/>
      <c r="AB18" s="105">
        <v>0</v>
      </c>
      <c r="AC18" s="106"/>
      <c r="AD18" s="106"/>
      <c r="AE18" s="107"/>
      <c r="AF18" s="23"/>
      <c r="AG18" s="16">
        <v>0</v>
      </c>
      <c r="AH18" s="22"/>
      <c r="AI18" s="23"/>
      <c r="AJ18" s="11" t="s">
        <v>14</v>
      </c>
      <c r="AK18" s="23"/>
      <c r="AL18" s="34" t="str">
        <f t="shared" si="5"/>
        <v/>
      </c>
      <c r="AM18" s="130"/>
      <c r="AN18" s="130"/>
      <c r="AO18" s="130"/>
      <c r="AP18" s="130"/>
      <c r="AQ18" s="130"/>
      <c r="AR18" s="130"/>
      <c r="AS18" s="23"/>
      <c r="AT18" s="105">
        <v>0</v>
      </c>
      <c r="AU18" s="106"/>
      <c r="AV18" s="106"/>
      <c r="AW18" s="107"/>
      <c r="AX18" s="23"/>
      <c r="AY18" s="16">
        <v>0</v>
      </c>
      <c r="AZ18" s="22"/>
      <c r="BA18" s="23"/>
      <c r="BB18" s="11" t="s">
        <v>0</v>
      </c>
      <c r="BC18" s="35"/>
      <c r="BD18" s="35">
        <f t="shared" si="8"/>
        <v>10</v>
      </c>
      <c r="BE18" s="35">
        <f t="shared" si="1"/>
        <v>0</v>
      </c>
      <c r="BF18" s="59">
        <f t="shared" si="6"/>
        <v>0</v>
      </c>
      <c r="BG18" s="26"/>
      <c r="BH18" s="26"/>
      <c r="BI18" s="26"/>
      <c r="BJ18" s="68" t="str">
        <f t="shared" si="7"/>
        <v>{, "", 5, 1, 0, 1, 5, 19,"V"},</v>
      </c>
      <c r="BK18" s="35"/>
      <c r="BL18" s="23"/>
      <c r="BM18" s="23"/>
      <c r="BN18" s="35"/>
      <c r="BO18" s="35"/>
      <c r="BP18" s="35"/>
      <c r="BQ18" s="35"/>
      <c r="BR18" s="35"/>
      <c r="BS18" s="35"/>
      <c r="BT18" s="35"/>
      <c r="BU18" s="35"/>
      <c r="BV18" s="35"/>
      <c r="BW18" s="23"/>
      <c r="BX18" s="23"/>
      <c r="BY18" s="23"/>
      <c r="BZ18" s="35"/>
      <c r="CA18" s="23"/>
      <c r="CB18" s="35" t="str">
        <f t="shared" si="2"/>
        <v>{, "", 5, 28, 0, 0, 5, 46,"V"},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35" t="str">
        <f t="shared" si="3"/>
        <v>{, "", 5, 55, 0, 0, 5, 73,"A"},</v>
      </c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36"/>
    </row>
    <row r="19" spans="1:104">
      <c r="A19">
        <v>6</v>
      </c>
      <c r="B19" s="34" t="str">
        <f t="shared" si="4"/>
        <v/>
      </c>
      <c r="C19" s="158"/>
      <c r="D19" s="158"/>
      <c r="E19" s="158"/>
      <c r="F19" s="158"/>
      <c r="G19" s="158"/>
      <c r="H19" s="158"/>
      <c r="I19" s="23"/>
      <c r="J19" s="105">
        <v>0</v>
      </c>
      <c r="K19" s="106"/>
      <c r="L19" s="106"/>
      <c r="M19" s="107"/>
      <c r="N19" s="23"/>
      <c r="O19" s="16">
        <v>1</v>
      </c>
      <c r="P19" s="22"/>
      <c r="Q19" s="23"/>
      <c r="R19" s="1" t="s">
        <v>14</v>
      </c>
      <c r="S19" s="23"/>
      <c r="T19" s="34" t="str">
        <f t="shared" si="0"/>
        <v/>
      </c>
      <c r="U19" s="111"/>
      <c r="V19" s="111"/>
      <c r="W19" s="111"/>
      <c r="X19" s="111"/>
      <c r="Y19" s="111"/>
      <c r="Z19" s="111"/>
      <c r="AA19" s="23"/>
      <c r="AB19" s="105">
        <v>0</v>
      </c>
      <c r="AC19" s="106"/>
      <c r="AD19" s="106"/>
      <c r="AE19" s="107"/>
      <c r="AF19" s="23"/>
      <c r="AG19" s="16">
        <v>0</v>
      </c>
      <c r="AH19" s="22"/>
      <c r="AI19" s="23"/>
      <c r="AJ19" s="11" t="s">
        <v>14</v>
      </c>
      <c r="AK19" s="23"/>
      <c r="AL19" s="34" t="str">
        <f t="shared" si="5"/>
        <v/>
      </c>
      <c r="AM19" s="130"/>
      <c r="AN19" s="130"/>
      <c r="AO19" s="130"/>
      <c r="AP19" s="130"/>
      <c r="AQ19" s="130"/>
      <c r="AR19" s="130"/>
      <c r="AS19" s="23"/>
      <c r="AT19" s="105">
        <v>0</v>
      </c>
      <c r="AU19" s="106"/>
      <c r="AV19" s="106"/>
      <c r="AW19" s="107"/>
      <c r="AX19" s="23"/>
      <c r="AY19" s="16">
        <v>0</v>
      </c>
      <c r="AZ19" s="22"/>
      <c r="BA19" s="23"/>
      <c r="BB19" s="11" t="s">
        <v>14</v>
      </c>
      <c r="BC19" s="35"/>
      <c r="BD19" s="35">
        <f t="shared" si="8"/>
        <v>0</v>
      </c>
      <c r="BE19" s="35">
        <f t="shared" si="1"/>
        <v>0</v>
      </c>
      <c r="BF19" s="59">
        <f t="shared" si="6"/>
        <v>0</v>
      </c>
      <c r="BG19" s="26"/>
      <c r="BH19" s="26"/>
      <c r="BI19" s="26"/>
      <c r="BJ19" s="68" t="str">
        <f t="shared" si="7"/>
        <v>{, "", 6, 1, 0, 1, 6, 19,"V"},</v>
      </c>
      <c r="BK19" s="35"/>
      <c r="BL19" s="23"/>
      <c r="BM19" s="23"/>
      <c r="BN19" s="35"/>
      <c r="BO19" s="35"/>
      <c r="BP19" s="35"/>
      <c r="BQ19" s="35"/>
      <c r="BR19" s="35"/>
      <c r="BS19" s="35"/>
      <c r="BT19" s="35"/>
      <c r="BU19" s="35"/>
      <c r="BV19" s="35"/>
      <c r="BW19" s="23"/>
      <c r="BX19" s="23"/>
      <c r="BY19" s="23"/>
      <c r="BZ19" s="35"/>
      <c r="CA19" s="23"/>
      <c r="CB19" s="35" t="str">
        <f t="shared" si="2"/>
        <v>{, "", 6, 28, 0, 0, 6, 46,"V"},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35" t="str">
        <f t="shared" si="3"/>
        <v>{, "", 6, 55, 0, 0, 6, 73,"V"},</v>
      </c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36"/>
    </row>
    <row r="20" spans="1:104">
      <c r="A20">
        <v>7</v>
      </c>
      <c r="B20" s="34" t="str">
        <f t="shared" si="4"/>
        <v/>
      </c>
      <c r="C20" s="158"/>
      <c r="D20" s="158"/>
      <c r="E20" s="158"/>
      <c r="F20" s="158"/>
      <c r="G20" s="158"/>
      <c r="H20" s="158"/>
      <c r="I20" s="23"/>
      <c r="J20" s="105">
        <v>0</v>
      </c>
      <c r="K20" s="106"/>
      <c r="L20" s="106"/>
      <c r="M20" s="107"/>
      <c r="N20" s="23"/>
      <c r="O20" s="16">
        <v>1</v>
      </c>
      <c r="P20" s="22"/>
      <c r="Q20" s="23"/>
      <c r="R20" s="1" t="s">
        <v>14</v>
      </c>
      <c r="S20" s="23"/>
      <c r="T20" s="34" t="str">
        <f t="shared" si="0"/>
        <v/>
      </c>
      <c r="U20" s="111"/>
      <c r="V20" s="111"/>
      <c r="W20" s="111"/>
      <c r="X20" s="111"/>
      <c r="Y20" s="111"/>
      <c r="Z20" s="111"/>
      <c r="AA20" s="23"/>
      <c r="AB20" s="105">
        <v>0</v>
      </c>
      <c r="AC20" s="106"/>
      <c r="AD20" s="106"/>
      <c r="AE20" s="107"/>
      <c r="AF20" s="23"/>
      <c r="AG20" s="16">
        <v>0</v>
      </c>
      <c r="AH20" s="22"/>
      <c r="AI20" s="23"/>
      <c r="AJ20" s="11" t="s">
        <v>14</v>
      </c>
      <c r="AK20" s="23"/>
      <c r="AL20" s="34" t="str">
        <f t="shared" si="5"/>
        <v/>
      </c>
      <c r="AM20" s="130"/>
      <c r="AN20" s="130"/>
      <c r="AO20" s="130"/>
      <c r="AP20" s="130"/>
      <c r="AQ20" s="130"/>
      <c r="AR20" s="130"/>
      <c r="AS20" s="23"/>
      <c r="AT20" s="105">
        <v>0</v>
      </c>
      <c r="AU20" s="106"/>
      <c r="AV20" s="106"/>
      <c r="AW20" s="107"/>
      <c r="AX20" s="23"/>
      <c r="AY20" s="16">
        <v>4</v>
      </c>
      <c r="AZ20" s="22"/>
      <c r="BA20" s="23"/>
      <c r="BB20" s="11" t="s">
        <v>314</v>
      </c>
      <c r="BC20" s="35"/>
      <c r="BD20" s="35">
        <f t="shared" si="8"/>
        <v>0</v>
      </c>
      <c r="BE20" s="35">
        <f t="shared" si="1"/>
        <v>0</v>
      </c>
      <c r="BF20" s="59">
        <f t="shared" si="6"/>
        <v>0</v>
      </c>
      <c r="BG20" s="26"/>
      <c r="BH20" s="26"/>
      <c r="BI20" s="26"/>
      <c r="BJ20" s="68" t="str">
        <f t="shared" si="7"/>
        <v>{, "", 7, 1, 0, 1, 7, 19,"V"},</v>
      </c>
      <c r="BK20" s="35"/>
      <c r="BL20" s="23"/>
      <c r="BM20" s="23"/>
      <c r="BN20" s="35"/>
      <c r="BO20" s="35"/>
      <c r="BP20" s="35"/>
      <c r="BQ20" s="35"/>
      <c r="BR20" s="35"/>
      <c r="BS20" s="35"/>
      <c r="BT20" s="35"/>
      <c r="BU20" s="35"/>
      <c r="BV20" s="35"/>
      <c r="BW20" s="23"/>
      <c r="BX20" s="23"/>
      <c r="BY20" s="23"/>
      <c r="BZ20" s="35"/>
      <c r="CA20" s="23"/>
      <c r="CB20" s="35" t="str">
        <f t="shared" si="2"/>
        <v>{, "", 7, 28, 0, 0, 7, 46,"V"},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35" t="str">
        <f t="shared" si="3"/>
        <v>{, "", 7, 55, 0, 4, 7, 73,"X"},</v>
      </c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36"/>
    </row>
    <row r="21" spans="1:104" ht="15" thickBot="1">
      <c r="A21">
        <v>8</v>
      </c>
      <c r="B21" s="54" t="str">
        <f t="shared" si="4"/>
        <v/>
      </c>
      <c r="C21" s="158"/>
      <c r="D21" s="158"/>
      <c r="E21" s="158"/>
      <c r="F21" s="158"/>
      <c r="G21" s="158"/>
      <c r="H21" s="158"/>
      <c r="I21" s="37"/>
      <c r="J21" s="131">
        <v>0</v>
      </c>
      <c r="K21" s="132"/>
      <c r="L21" s="132"/>
      <c r="M21" s="133"/>
      <c r="N21" s="37"/>
      <c r="O21" s="16">
        <v>1</v>
      </c>
      <c r="P21" s="55"/>
      <c r="Q21" s="37"/>
      <c r="R21" s="1" t="s">
        <v>14</v>
      </c>
      <c r="S21" s="37"/>
      <c r="T21" s="54" t="str">
        <f t="shared" si="0"/>
        <v/>
      </c>
      <c r="U21" s="118"/>
      <c r="V21" s="118"/>
      <c r="W21" s="118"/>
      <c r="X21" s="118"/>
      <c r="Y21" s="118"/>
      <c r="Z21" s="118"/>
      <c r="AA21" s="37"/>
      <c r="AB21" s="131">
        <v>0</v>
      </c>
      <c r="AC21" s="132"/>
      <c r="AD21" s="132"/>
      <c r="AE21" s="133"/>
      <c r="AF21" s="37"/>
      <c r="AG21" s="81">
        <v>0</v>
      </c>
      <c r="AH21" s="55"/>
      <c r="AI21" s="37"/>
      <c r="AJ21" s="56" t="s">
        <v>14</v>
      </c>
      <c r="AK21" s="37"/>
      <c r="AL21" s="34" t="str">
        <f t="shared" si="5"/>
        <v/>
      </c>
      <c r="AM21" s="135"/>
      <c r="AN21" s="135"/>
      <c r="AO21" s="135"/>
      <c r="AP21" s="135"/>
      <c r="AQ21" s="135"/>
      <c r="AR21" s="135"/>
      <c r="AS21" s="23"/>
      <c r="AT21" s="136">
        <v>0</v>
      </c>
      <c r="AU21" s="137"/>
      <c r="AV21" s="137"/>
      <c r="AW21" s="138"/>
      <c r="AX21" s="23"/>
      <c r="AY21" s="87">
        <v>4</v>
      </c>
      <c r="AZ21" s="22"/>
      <c r="BA21" s="23"/>
      <c r="BB21" s="88" t="s">
        <v>314</v>
      </c>
      <c r="BC21" s="35"/>
      <c r="BD21" s="35">
        <f t="shared" si="8"/>
        <v>0</v>
      </c>
      <c r="BE21" s="35">
        <f t="shared" si="1"/>
        <v>0</v>
      </c>
      <c r="BF21" s="59">
        <f t="shared" si="6"/>
        <v>0</v>
      </c>
      <c r="BG21" s="26"/>
      <c r="BH21" s="26"/>
      <c r="BI21" s="26"/>
      <c r="BJ21" s="68" t="str">
        <f t="shared" si="7"/>
        <v>{, "", 8, 1, 0, 1, 8, 19,"V"},</v>
      </c>
      <c r="BK21" s="35"/>
      <c r="BL21" s="23"/>
      <c r="BM21" s="23"/>
      <c r="BN21" s="35"/>
      <c r="BO21" s="35"/>
      <c r="BP21" s="35"/>
      <c r="BQ21" s="35"/>
      <c r="BR21" s="35"/>
      <c r="BS21" s="35"/>
      <c r="BT21" s="35"/>
      <c r="BU21" s="35"/>
      <c r="BV21" s="35"/>
      <c r="BW21" s="23"/>
      <c r="BX21" s="23"/>
      <c r="BY21" s="23"/>
      <c r="BZ21" s="35"/>
      <c r="CA21" s="23"/>
      <c r="CB21" s="35" t="str">
        <f t="shared" si="2"/>
        <v>{, "", 8, 28, 0, 0, 8, 46,"V"},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35" t="str">
        <f t="shared" si="3"/>
        <v>{, "", 8, 55, 0, 4, 8, 73,"X"},</v>
      </c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36"/>
    </row>
    <row r="22" spans="1:104">
      <c r="A22">
        <v>9</v>
      </c>
      <c r="B22" s="30" t="str">
        <f t="shared" si="4"/>
        <v/>
      </c>
      <c r="C22" s="158"/>
      <c r="D22" s="158"/>
      <c r="E22" s="158"/>
      <c r="F22" s="158"/>
      <c r="G22" s="158"/>
      <c r="H22" s="158"/>
      <c r="I22" s="31"/>
      <c r="J22" s="108">
        <v>0</v>
      </c>
      <c r="K22" s="109"/>
      <c r="L22" s="109"/>
      <c r="M22" s="110"/>
      <c r="N22" s="31"/>
      <c r="O22" s="16">
        <v>1</v>
      </c>
      <c r="P22" s="53"/>
      <c r="Q22" s="31"/>
      <c r="R22" s="1" t="s">
        <v>14</v>
      </c>
      <c r="S22" s="31"/>
      <c r="T22" s="30" t="str">
        <f t="shared" si="0"/>
        <v/>
      </c>
      <c r="U22" s="121"/>
      <c r="V22" s="121"/>
      <c r="W22" s="121"/>
      <c r="X22" s="121"/>
      <c r="Y22" s="121"/>
      <c r="Z22" s="121"/>
      <c r="AA22" s="31"/>
      <c r="AB22" s="108">
        <v>0</v>
      </c>
      <c r="AC22" s="109"/>
      <c r="AD22" s="109"/>
      <c r="AE22" s="110"/>
      <c r="AF22" s="31"/>
      <c r="AG22" s="52">
        <v>0</v>
      </c>
      <c r="AH22" s="53"/>
      <c r="AI22" s="31"/>
      <c r="AJ22" s="9" t="s">
        <v>14</v>
      </c>
      <c r="AK22" s="31"/>
      <c r="AL22" s="34" t="str">
        <f t="shared" si="5"/>
        <v/>
      </c>
      <c r="AM22" s="126"/>
      <c r="AN22" s="126"/>
      <c r="AO22" s="126"/>
      <c r="AP22" s="126"/>
      <c r="AQ22" s="126"/>
      <c r="AR22" s="126"/>
      <c r="AS22" s="31"/>
      <c r="AT22" s="108">
        <v>0</v>
      </c>
      <c r="AU22" s="109"/>
      <c r="AV22" s="109"/>
      <c r="AW22" s="110"/>
      <c r="AX22" s="31"/>
      <c r="AY22" s="52">
        <v>4</v>
      </c>
      <c r="AZ22" s="53"/>
      <c r="BA22" s="31"/>
      <c r="BB22" s="9" t="s">
        <v>314</v>
      </c>
      <c r="BC22" s="32"/>
      <c r="BD22" s="32">
        <f t="shared" si="8"/>
        <v>0</v>
      </c>
      <c r="BE22" s="32">
        <f t="shared" si="1"/>
        <v>0</v>
      </c>
      <c r="BF22" s="58">
        <f t="shared" si="6"/>
        <v>0</v>
      </c>
      <c r="BG22" s="26"/>
      <c r="BH22" s="26"/>
      <c r="BI22" s="26"/>
      <c r="BJ22" s="68" t="str">
        <f t="shared" si="7"/>
        <v>{, "", 9, 1, 0, 1, 9, 19,"V"},</v>
      </c>
      <c r="BK22" s="35"/>
      <c r="BL22" s="23"/>
      <c r="BM22" s="23"/>
      <c r="BN22" s="35"/>
      <c r="BO22" s="35"/>
      <c r="BP22" s="35"/>
      <c r="BQ22" s="35"/>
      <c r="BR22" s="35"/>
      <c r="BS22" s="35"/>
      <c r="BT22" s="35"/>
      <c r="BU22" s="35"/>
      <c r="BV22" s="35"/>
      <c r="BW22" s="23"/>
      <c r="BX22" s="23"/>
      <c r="BY22" s="23"/>
      <c r="BZ22" s="35"/>
      <c r="CA22" s="23"/>
      <c r="CB22" s="35" t="str">
        <f t="shared" si="2"/>
        <v>{, "", 9, 28, 0, 0, 9, 46,"V"},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35" t="str">
        <f t="shared" si="3"/>
        <v>{, "", 9, 55, 0, 4, 9, 73,"X"},</v>
      </c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36"/>
    </row>
    <row r="23" spans="1:104">
      <c r="A23">
        <v>10</v>
      </c>
      <c r="B23" s="34" t="str">
        <f t="shared" si="4"/>
        <v/>
      </c>
      <c r="C23" s="158"/>
      <c r="D23" s="158"/>
      <c r="E23" s="158"/>
      <c r="F23" s="158"/>
      <c r="G23" s="158"/>
      <c r="H23" s="158"/>
      <c r="I23" s="23"/>
      <c r="J23" s="105">
        <v>0</v>
      </c>
      <c r="K23" s="106"/>
      <c r="L23" s="106"/>
      <c r="M23" s="107"/>
      <c r="N23" s="23"/>
      <c r="O23" s="16">
        <v>1</v>
      </c>
      <c r="P23" s="22"/>
      <c r="Q23" s="23"/>
      <c r="R23" s="1" t="s">
        <v>14</v>
      </c>
      <c r="S23" s="23"/>
      <c r="T23" s="34" t="str">
        <f t="shared" si="0"/>
        <v/>
      </c>
      <c r="U23" s="111"/>
      <c r="V23" s="111"/>
      <c r="W23" s="111"/>
      <c r="X23" s="111"/>
      <c r="Y23" s="111"/>
      <c r="Z23" s="111"/>
      <c r="AA23" s="23"/>
      <c r="AB23" s="105">
        <v>0</v>
      </c>
      <c r="AC23" s="106"/>
      <c r="AD23" s="106"/>
      <c r="AE23" s="107"/>
      <c r="AF23" s="23"/>
      <c r="AG23" s="16">
        <v>0</v>
      </c>
      <c r="AH23" s="22"/>
      <c r="AI23" s="23"/>
      <c r="AJ23" s="11" t="s">
        <v>14</v>
      </c>
      <c r="AK23" s="23"/>
      <c r="AL23" s="34" t="str">
        <f t="shared" si="5"/>
        <v/>
      </c>
      <c r="AM23" s="127"/>
      <c r="AN23" s="128"/>
      <c r="AO23" s="128"/>
      <c r="AP23" s="128"/>
      <c r="AQ23" s="128"/>
      <c r="AR23" s="129"/>
      <c r="AS23" s="23"/>
      <c r="AT23" s="78">
        <v>0</v>
      </c>
      <c r="AU23" s="79"/>
      <c r="AV23" s="79"/>
      <c r="AW23" s="80"/>
      <c r="AX23" s="23"/>
      <c r="AY23" s="16">
        <v>0</v>
      </c>
      <c r="AZ23" s="22"/>
      <c r="BA23" s="23"/>
      <c r="BB23" s="11" t="s">
        <v>14</v>
      </c>
      <c r="BC23" s="35"/>
      <c r="BD23" s="35">
        <f t="shared" ref="BD23:BD37" si="9">LEN(C23)</f>
        <v>0</v>
      </c>
      <c r="BE23" s="35">
        <f t="shared" si="1"/>
        <v>0</v>
      </c>
      <c r="BF23" s="59">
        <f t="shared" si="6"/>
        <v>0</v>
      </c>
      <c r="BG23" s="26"/>
      <c r="BH23" s="26"/>
      <c r="BI23" s="26"/>
      <c r="BJ23" s="68" t="str">
        <f t="shared" si="7"/>
        <v>{, "", 10, 1, 0, 1, 10, 19,"V"},</v>
      </c>
      <c r="BK23" s="35"/>
      <c r="BL23" s="23"/>
      <c r="BM23" s="23"/>
      <c r="BN23" s="35"/>
      <c r="BO23" s="35"/>
      <c r="BP23" s="35"/>
      <c r="BQ23" s="35"/>
      <c r="BR23" s="35"/>
      <c r="BS23" s="35"/>
      <c r="BT23" s="35"/>
      <c r="BU23" s="35"/>
      <c r="BV23" s="35"/>
      <c r="BW23" s="23"/>
      <c r="BX23" s="23"/>
      <c r="BY23" s="23"/>
      <c r="BZ23" s="35"/>
      <c r="CA23" s="23"/>
      <c r="CB23" s="35" t="str">
        <f t="shared" si="2"/>
        <v>{, "", 10, 28, 0, 0, 10, 46,"V"},</v>
      </c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35" t="str">
        <f t="shared" si="3"/>
        <v>{, "", 10, 55, 0, 0, 10, 73,"V"},</v>
      </c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36"/>
    </row>
    <row r="24" spans="1:104">
      <c r="A24">
        <v>11</v>
      </c>
      <c r="B24" s="34" t="str">
        <f t="shared" si="4"/>
        <v/>
      </c>
      <c r="C24" s="158"/>
      <c r="D24" s="158"/>
      <c r="E24" s="158"/>
      <c r="F24" s="158"/>
      <c r="G24" s="158"/>
      <c r="H24" s="158"/>
      <c r="I24" s="23"/>
      <c r="J24" s="105">
        <v>0</v>
      </c>
      <c r="K24" s="106"/>
      <c r="L24" s="106"/>
      <c r="M24" s="107"/>
      <c r="N24" s="23"/>
      <c r="O24" s="16">
        <v>1</v>
      </c>
      <c r="P24" s="22"/>
      <c r="Q24" s="23"/>
      <c r="R24" s="1" t="s">
        <v>14</v>
      </c>
      <c r="S24" s="23"/>
      <c r="T24" s="34" t="str">
        <f t="shared" si="0"/>
        <v/>
      </c>
      <c r="U24" s="111"/>
      <c r="V24" s="111"/>
      <c r="W24" s="111"/>
      <c r="X24" s="111"/>
      <c r="Y24" s="111"/>
      <c r="Z24" s="111"/>
      <c r="AA24" s="23"/>
      <c r="AB24" s="105">
        <v>0</v>
      </c>
      <c r="AC24" s="106"/>
      <c r="AD24" s="106"/>
      <c r="AE24" s="107"/>
      <c r="AF24" s="23"/>
      <c r="AG24" s="16">
        <v>1</v>
      </c>
      <c r="AH24" s="22"/>
      <c r="AI24" s="23"/>
      <c r="AJ24" s="11" t="s">
        <v>14</v>
      </c>
      <c r="AK24" s="23"/>
      <c r="AL24" s="34" t="str">
        <f>SUBSTITUTE(PROPER(AM24)," ","")</f>
        <v/>
      </c>
      <c r="AM24" s="127"/>
      <c r="AN24" s="128"/>
      <c r="AO24" s="128"/>
      <c r="AP24" s="128"/>
      <c r="AQ24" s="128"/>
      <c r="AR24" s="129"/>
      <c r="AS24" s="23"/>
      <c r="AT24" s="78">
        <v>0</v>
      </c>
      <c r="AU24" s="79"/>
      <c r="AV24" s="79"/>
      <c r="AW24" s="80"/>
      <c r="AX24" s="23"/>
      <c r="AY24" s="16">
        <v>0</v>
      </c>
      <c r="AZ24" s="22"/>
      <c r="BA24" s="23"/>
      <c r="BB24" s="11" t="s">
        <v>14</v>
      </c>
      <c r="BC24" s="35"/>
      <c r="BD24" s="35">
        <f t="shared" si="9"/>
        <v>0</v>
      </c>
      <c r="BE24" s="35">
        <f t="shared" si="1"/>
        <v>0</v>
      </c>
      <c r="BF24" s="59">
        <f>LEN(AM23)</f>
        <v>0</v>
      </c>
      <c r="BG24" s="26"/>
      <c r="BH24" s="26"/>
      <c r="BI24" s="26"/>
      <c r="BJ24" s="68" t="str">
        <f t="shared" si="7"/>
        <v>{, "", 11, 1, 0, 1, 11, 19,"V"},</v>
      </c>
      <c r="BK24" s="35"/>
      <c r="BL24" s="23"/>
      <c r="BM24" s="23"/>
      <c r="BN24" s="35"/>
      <c r="BO24" s="35"/>
      <c r="BP24" s="35"/>
      <c r="BQ24" s="35"/>
      <c r="BR24" s="35"/>
      <c r="BS24" s="35"/>
      <c r="BT24" s="35"/>
      <c r="BU24" s="35"/>
      <c r="BV24" s="35"/>
      <c r="BW24" s="23"/>
      <c r="BX24" s="23"/>
      <c r="BY24" s="23"/>
      <c r="BZ24" s="35"/>
      <c r="CA24" s="23"/>
      <c r="CB24" s="35" t="str">
        <f t="shared" si="2"/>
        <v>{, "", 11, 28, 0, 1, 11, 46,"V"},</v>
      </c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35" t="str">
        <f t="shared" si="3"/>
        <v>{, "", 11, 55, 0, 0, 11, 73,"V"},</v>
      </c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36"/>
    </row>
    <row r="25" spans="1:104">
      <c r="A25">
        <v>12</v>
      </c>
      <c r="B25" s="34" t="str">
        <f t="shared" si="4"/>
        <v/>
      </c>
      <c r="C25" s="158"/>
      <c r="D25" s="158"/>
      <c r="E25" s="158"/>
      <c r="F25" s="158"/>
      <c r="G25" s="158"/>
      <c r="H25" s="158"/>
      <c r="I25" s="23"/>
      <c r="J25" s="105">
        <v>0</v>
      </c>
      <c r="K25" s="106"/>
      <c r="L25" s="106"/>
      <c r="M25" s="107"/>
      <c r="N25" s="23"/>
      <c r="O25" s="16">
        <v>1</v>
      </c>
      <c r="P25" s="22"/>
      <c r="Q25" s="23"/>
      <c r="R25" s="1" t="s">
        <v>14</v>
      </c>
      <c r="S25" s="23"/>
      <c r="T25" s="34" t="str">
        <f t="shared" si="0"/>
        <v/>
      </c>
      <c r="U25" s="111"/>
      <c r="V25" s="111"/>
      <c r="W25" s="111"/>
      <c r="X25" s="111"/>
      <c r="Y25" s="111"/>
      <c r="Z25" s="111"/>
      <c r="AA25" s="23"/>
      <c r="AB25" s="105">
        <v>0</v>
      </c>
      <c r="AC25" s="106"/>
      <c r="AD25" s="106"/>
      <c r="AE25" s="107"/>
      <c r="AF25" s="23"/>
      <c r="AG25" s="16">
        <v>1</v>
      </c>
      <c r="AH25" s="22"/>
      <c r="AI25" s="23"/>
      <c r="AJ25" s="11" t="s">
        <v>14</v>
      </c>
      <c r="AK25" s="23"/>
      <c r="AL25" s="34" t="str">
        <f>SUBSTITUTE(PROPER(AM25)," ","")</f>
        <v/>
      </c>
      <c r="AM25" s="127"/>
      <c r="AN25" s="128"/>
      <c r="AO25" s="128"/>
      <c r="AP25" s="128"/>
      <c r="AQ25" s="128"/>
      <c r="AR25" s="129"/>
      <c r="AS25" s="23"/>
      <c r="AT25" s="78">
        <v>0</v>
      </c>
      <c r="AU25" s="79"/>
      <c r="AV25" s="79"/>
      <c r="AW25" s="80"/>
      <c r="AX25" s="23"/>
      <c r="AY25" s="16">
        <v>1</v>
      </c>
      <c r="AZ25" s="22"/>
      <c r="BA25" s="23"/>
      <c r="BB25" s="11" t="s">
        <v>14</v>
      </c>
      <c r="BC25" s="35"/>
      <c r="BD25" s="35">
        <f t="shared" si="9"/>
        <v>0</v>
      </c>
      <c r="BE25" s="35">
        <f t="shared" si="1"/>
        <v>0</v>
      </c>
      <c r="BF25" s="59">
        <f>LEN(AM24)</f>
        <v>0</v>
      </c>
      <c r="BG25" s="26"/>
      <c r="BH25" s="26"/>
      <c r="BI25" s="26"/>
      <c r="BJ25" s="68" t="str">
        <f t="shared" si="7"/>
        <v>{, "", 12, 1, 0, 1, 12, 19,"V"},</v>
      </c>
      <c r="BK25" s="35"/>
      <c r="BL25" s="23"/>
      <c r="BM25" s="23"/>
      <c r="BN25" s="35"/>
      <c r="BO25" s="35"/>
      <c r="BP25" s="35"/>
      <c r="BQ25" s="35"/>
      <c r="BR25" s="35"/>
      <c r="BS25" s="35"/>
      <c r="BT25" s="35"/>
      <c r="BU25" s="35"/>
      <c r="BV25" s="35"/>
      <c r="BW25" s="23"/>
      <c r="BX25" s="23"/>
      <c r="BY25" s="23"/>
      <c r="BZ25" s="35"/>
      <c r="CA25" s="23"/>
      <c r="CB25" s="35" t="str">
        <f t="shared" si="2"/>
        <v>{, "", 12, 28, 0, 1, 12, 46,"V"},</v>
      </c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35" t="str">
        <f t="shared" si="3"/>
        <v>{, "", 12, 55, 0, 1, 12, 73,"V"},</v>
      </c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36"/>
    </row>
    <row r="26" spans="1:104">
      <c r="A26">
        <v>13</v>
      </c>
      <c r="B26" s="34" t="str">
        <f t="shared" si="4"/>
        <v/>
      </c>
      <c r="C26" s="158"/>
      <c r="D26" s="158"/>
      <c r="E26" s="158"/>
      <c r="F26" s="158"/>
      <c r="G26" s="158"/>
      <c r="H26" s="158"/>
      <c r="I26" s="23"/>
      <c r="J26" s="105">
        <v>0</v>
      </c>
      <c r="K26" s="106"/>
      <c r="L26" s="106"/>
      <c r="M26" s="107"/>
      <c r="N26" s="23"/>
      <c r="O26" s="16">
        <v>0</v>
      </c>
      <c r="P26" s="22"/>
      <c r="Q26" s="23"/>
      <c r="R26" s="1" t="s">
        <v>14</v>
      </c>
      <c r="S26" s="23"/>
      <c r="T26" s="34" t="str">
        <f t="shared" si="0"/>
        <v/>
      </c>
      <c r="U26" s="111"/>
      <c r="V26" s="111"/>
      <c r="W26" s="111"/>
      <c r="X26" s="111"/>
      <c r="Y26" s="111"/>
      <c r="Z26" s="111"/>
      <c r="AA26" s="23"/>
      <c r="AB26" s="105">
        <v>0</v>
      </c>
      <c r="AC26" s="106"/>
      <c r="AD26" s="106"/>
      <c r="AE26" s="107"/>
      <c r="AF26" s="23"/>
      <c r="AG26" s="16">
        <v>1</v>
      </c>
      <c r="AH26" s="22"/>
      <c r="AI26" s="23"/>
      <c r="AJ26" s="11" t="s">
        <v>14</v>
      </c>
      <c r="AK26" s="23"/>
      <c r="AL26" s="34" t="str">
        <f>SUBSTITUTE(PROPER(AM26)," ","")</f>
        <v/>
      </c>
      <c r="AM26" s="127"/>
      <c r="AN26" s="128"/>
      <c r="AO26" s="128"/>
      <c r="AP26" s="128"/>
      <c r="AQ26" s="128"/>
      <c r="AR26" s="129"/>
      <c r="AS26" s="23"/>
      <c r="AT26" s="78">
        <v>0</v>
      </c>
      <c r="AU26" s="79"/>
      <c r="AV26" s="79"/>
      <c r="AW26" s="80"/>
      <c r="AX26" s="23"/>
      <c r="AY26" s="16">
        <v>1</v>
      </c>
      <c r="AZ26" s="22"/>
      <c r="BA26" s="23"/>
      <c r="BB26" s="11" t="s">
        <v>14</v>
      </c>
      <c r="BC26" s="35"/>
      <c r="BD26" s="35">
        <f t="shared" si="9"/>
        <v>0</v>
      </c>
      <c r="BE26" s="35">
        <f t="shared" si="1"/>
        <v>0</v>
      </c>
      <c r="BF26" s="59">
        <f>LEN(AM25)</f>
        <v>0</v>
      </c>
      <c r="BG26" s="26"/>
      <c r="BH26" s="26"/>
      <c r="BI26" s="26"/>
      <c r="BJ26" s="68" t="str">
        <f t="shared" si="7"/>
        <v>{, "", 13, 1, 0, 0, 13, 19,"V"},</v>
      </c>
      <c r="BK26" s="35"/>
      <c r="BL26" s="23"/>
      <c r="BM26" s="23"/>
      <c r="BN26" s="35"/>
      <c r="BO26" s="35"/>
      <c r="BP26" s="35"/>
      <c r="BQ26" s="35"/>
      <c r="BR26" s="35"/>
      <c r="BS26" s="35"/>
      <c r="BT26" s="35"/>
      <c r="BU26" s="35"/>
      <c r="BV26" s="35"/>
      <c r="BW26" s="23"/>
      <c r="BX26" s="23"/>
      <c r="BY26" s="23"/>
      <c r="BZ26" s="35"/>
      <c r="CA26" s="23"/>
      <c r="CB26" s="35" t="str">
        <f t="shared" si="2"/>
        <v>{, "", 13, 28, 0, 1, 13, 46,"V"},</v>
      </c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35" t="str">
        <f t="shared" si="3"/>
        <v>{, "", 13, 55, 0, 1, 13, 73,"V"},</v>
      </c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36"/>
    </row>
    <row r="27" spans="1:104">
      <c r="A27">
        <v>14</v>
      </c>
      <c r="B27" s="34" t="str">
        <f t="shared" si="4"/>
        <v/>
      </c>
      <c r="C27" s="158"/>
      <c r="D27" s="158"/>
      <c r="E27" s="158"/>
      <c r="F27" s="158"/>
      <c r="G27" s="158"/>
      <c r="H27" s="158"/>
      <c r="I27" s="23"/>
      <c r="J27" s="105">
        <v>0</v>
      </c>
      <c r="K27" s="106"/>
      <c r="L27" s="106"/>
      <c r="M27" s="107"/>
      <c r="N27" s="23"/>
      <c r="O27" s="16">
        <v>1</v>
      </c>
      <c r="P27" s="22"/>
      <c r="Q27" s="23"/>
      <c r="R27" s="1" t="s">
        <v>14</v>
      </c>
      <c r="S27" s="23"/>
      <c r="T27" s="34" t="str">
        <f t="shared" si="0"/>
        <v/>
      </c>
      <c r="U27" s="111"/>
      <c r="V27" s="111"/>
      <c r="W27" s="111"/>
      <c r="X27" s="111"/>
      <c r="Y27" s="111"/>
      <c r="Z27" s="111"/>
      <c r="AA27" s="23"/>
      <c r="AB27" s="105">
        <v>0</v>
      </c>
      <c r="AC27" s="106"/>
      <c r="AD27" s="106"/>
      <c r="AE27" s="107"/>
      <c r="AF27" s="23"/>
      <c r="AG27" s="16">
        <v>1</v>
      </c>
      <c r="AH27" s="22"/>
      <c r="AI27" s="23"/>
      <c r="AJ27" s="11" t="s">
        <v>14</v>
      </c>
      <c r="AK27" s="23"/>
      <c r="AL27" s="34" t="str">
        <f>SUBSTITUTE(PROPER(AM27)," ","")</f>
        <v/>
      </c>
      <c r="AM27" s="130"/>
      <c r="AN27" s="130"/>
      <c r="AO27" s="130"/>
      <c r="AP27" s="130"/>
      <c r="AQ27" s="130"/>
      <c r="AR27" s="130"/>
      <c r="AS27" s="23"/>
      <c r="AT27" s="105">
        <v>0</v>
      </c>
      <c r="AU27" s="106"/>
      <c r="AV27" s="106"/>
      <c r="AW27" s="107"/>
      <c r="AX27" s="23"/>
      <c r="AY27" s="16">
        <v>1</v>
      </c>
      <c r="AZ27" s="22"/>
      <c r="BA27" s="23"/>
      <c r="BB27" s="11" t="s">
        <v>14</v>
      </c>
      <c r="BC27" s="35"/>
      <c r="BD27" s="35">
        <f t="shared" si="9"/>
        <v>0</v>
      </c>
      <c r="BE27" s="35">
        <f t="shared" si="1"/>
        <v>0</v>
      </c>
      <c r="BF27" s="59">
        <f>LEN(AM26)</f>
        <v>0</v>
      </c>
      <c r="BG27" s="26"/>
      <c r="BH27" s="26"/>
      <c r="BI27" s="26"/>
      <c r="BJ27" s="68" t="str">
        <f t="shared" si="7"/>
        <v>{, "", 14, 1, 0, 1, 14, 19,"V"},</v>
      </c>
      <c r="BK27" s="35"/>
      <c r="BL27" s="23"/>
      <c r="BM27" s="23"/>
      <c r="BN27" s="35"/>
      <c r="BO27" s="35"/>
      <c r="BP27" s="35"/>
      <c r="BQ27" s="35"/>
      <c r="BR27" s="35"/>
      <c r="BS27" s="35"/>
      <c r="BT27" s="35"/>
      <c r="BU27" s="35"/>
      <c r="BV27" s="35"/>
      <c r="BW27" s="23"/>
      <c r="BX27" s="23"/>
      <c r="BY27" s="23"/>
      <c r="BZ27" s="35"/>
      <c r="CA27" s="23"/>
      <c r="CB27" s="35" t="str">
        <f t="shared" si="2"/>
        <v>{, "", 14, 28, 0, 1, 14, 46,"V"},</v>
      </c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35" t="str">
        <f t="shared" si="3"/>
        <v>{, "", 14, 55, 0, 1, 14, 73,"V"},</v>
      </c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36"/>
    </row>
    <row r="28" spans="1:104">
      <c r="A28">
        <v>15</v>
      </c>
      <c r="B28" s="34" t="str">
        <f t="shared" si="4"/>
        <v/>
      </c>
      <c r="C28" s="158"/>
      <c r="D28" s="158"/>
      <c r="E28" s="158"/>
      <c r="F28" s="158"/>
      <c r="G28" s="158"/>
      <c r="H28" s="158"/>
      <c r="I28" s="23"/>
      <c r="J28" s="105">
        <v>0</v>
      </c>
      <c r="K28" s="106"/>
      <c r="L28" s="106"/>
      <c r="M28" s="107"/>
      <c r="N28" s="23"/>
      <c r="O28" s="16">
        <v>1</v>
      </c>
      <c r="P28" s="22"/>
      <c r="Q28" s="23"/>
      <c r="R28" s="1" t="s">
        <v>14</v>
      </c>
      <c r="S28" s="23"/>
      <c r="T28" s="34" t="str">
        <f t="shared" si="0"/>
        <v/>
      </c>
      <c r="U28" s="111"/>
      <c r="V28" s="111"/>
      <c r="W28" s="111"/>
      <c r="X28" s="111"/>
      <c r="Y28" s="111"/>
      <c r="Z28" s="111"/>
      <c r="AA28" s="23"/>
      <c r="AB28" s="105">
        <v>0</v>
      </c>
      <c r="AC28" s="106"/>
      <c r="AD28" s="106"/>
      <c r="AE28" s="107"/>
      <c r="AF28" s="23"/>
      <c r="AG28" s="16">
        <v>0</v>
      </c>
      <c r="AH28" s="22"/>
      <c r="AI28" s="23"/>
      <c r="AJ28" s="11" t="s">
        <v>0</v>
      </c>
      <c r="AK28" s="23"/>
      <c r="AL28" s="34" t="str">
        <f t="shared" si="5"/>
        <v/>
      </c>
      <c r="AM28" s="130"/>
      <c r="AN28" s="130"/>
      <c r="AO28" s="130"/>
      <c r="AP28" s="130"/>
      <c r="AQ28" s="130"/>
      <c r="AR28" s="130"/>
      <c r="AS28" s="23"/>
      <c r="AT28" s="105">
        <v>0</v>
      </c>
      <c r="AU28" s="106"/>
      <c r="AV28" s="106"/>
      <c r="AW28" s="107"/>
      <c r="AX28" s="23"/>
      <c r="AY28" s="70">
        <v>0</v>
      </c>
      <c r="AZ28" s="23"/>
      <c r="BA28" s="23"/>
      <c r="BB28" s="71" t="s">
        <v>0</v>
      </c>
      <c r="BC28" s="35"/>
      <c r="BD28" s="35">
        <f t="shared" si="9"/>
        <v>0</v>
      </c>
      <c r="BE28" s="35">
        <f t="shared" si="1"/>
        <v>0</v>
      </c>
      <c r="BF28" s="59">
        <f>LEN(AM27)</f>
        <v>0</v>
      </c>
      <c r="BG28" s="26"/>
      <c r="BH28" s="26"/>
      <c r="BI28" s="26"/>
      <c r="BJ28" s="68" t="str">
        <f t="shared" si="7"/>
        <v>{, "", 15, 1, 0, 1, 15, 19,"V"},</v>
      </c>
      <c r="BK28" s="35"/>
      <c r="BL28" s="23"/>
      <c r="BM28" s="23"/>
      <c r="BN28" s="35"/>
      <c r="BO28" s="35"/>
      <c r="BP28" s="35"/>
      <c r="BQ28" s="35"/>
      <c r="BR28" s="35"/>
      <c r="BS28" s="35"/>
      <c r="BT28" s="35"/>
      <c r="BU28" s="35"/>
      <c r="BV28" s="35"/>
      <c r="BW28" s="23"/>
      <c r="BX28" s="23"/>
      <c r="BY28" s="23"/>
      <c r="BZ28" s="35"/>
      <c r="CA28" s="23"/>
      <c r="CB28" s="35" t="str">
        <f t="shared" si="2"/>
        <v>{, "", 15, 28, 0, 0, 15, 46,"A"},</v>
      </c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35" t="str">
        <f t="shared" si="3"/>
        <v>{, "", 15, 55, 0, 0, 15, 73,"A"},</v>
      </c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36"/>
    </row>
    <row r="29" spans="1:104" ht="15" thickBot="1">
      <c r="A29">
        <v>16</v>
      </c>
      <c r="B29" s="54" t="str">
        <f t="shared" si="4"/>
        <v/>
      </c>
      <c r="C29" s="158"/>
      <c r="D29" s="158"/>
      <c r="E29" s="158"/>
      <c r="F29" s="158"/>
      <c r="G29" s="158"/>
      <c r="H29" s="158"/>
      <c r="I29" s="37"/>
      <c r="J29" s="131">
        <v>0</v>
      </c>
      <c r="K29" s="132"/>
      <c r="L29" s="132"/>
      <c r="M29" s="133"/>
      <c r="N29" s="37"/>
      <c r="O29" s="16">
        <v>0</v>
      </c>
      <c r="P29" s="55"/>
      <c r="Q29" s="37"/>
      <c r="R29" s="1" t="s">
        <v>14</v>
      </c>
      <c r="S29" s="37"/>
      <c r="T29" s="54" t="str">
        <f t="shared" si="0"/>
        <v/>
      </c>
      <c r="U29" s="118"/>
      <c r="V29" s="118"/>
      <c r="W29" s="118"/>
      <c r="X29" s="118"/>
      <c r="Y29" s="118"/>
      <c r="Z29" s="118"/>
      <c r="AA29" s="37"/>
      <c r="AB29" s="131">
        <v>0</v>
      </c>
      <c r="AC29" s="132"/>
      <c r="AD29" s="132"/>
      <c r="AE29" s="133"/>
      <c r="AF29" s="37"/>
      <c r="AG29" s="81">
        <v>0</v>
      </c>
      <c r="AH29" s="55"/>
      <c r="AI29" s="37"/>
      <c r="AJ29" s="56" t="s">
        <v>0</v>
      </c>
      <c r="AK29" s="37"/>
      <c r="AL29" s="54" t="str">
        <f t="shared" si="5"/>
        <v/>
      </c>
      <c r="AM29" s="134"/>
      <c r="AN29" s="134"/>
      <c r="AO29" s="134"/>
      <c r="AP29" s="134"/>
      <c r="AQ29" s="134"/>
      <c r="AR29" s="134"/>
      <c r="AS29" s="37"/>
      <c r="AT29" s="131">
        <v>0</v>
      </c>
      <c r="AU29" s="132"/>
      <c r="AV29" s="132"/>
      <c r="AW29" s="133"/>
      <c r="AX29" s="37"/>
      <c r="AY29" s="81">
        <v>0</v>
      </c>
      <c r="AZ29" s="55"/>
      <c r="BA29" s="37"/>
      <c r="BB29" s="56" t="s">
        <v>0</v>
      </c>
      <c r="BC29" s="38"/>
      <c r="BD29" s="38">
        <f t="shared" si="9"/>
        <v>0</v>
      </c>
      <c r="BE29" s="38">
        <f t="shared" si="1"/>
        <v>0</v>
      </c>
      <c r="BF29" s="61">
        <f t="shared" si="6"/>
        <v>0</v>
      </c>
      <c r="BG29" s="26"/>
      <c r="BH29" s="26"/>
      <c r="BI29" s="26"/>
      <c r="BJ29" s="68" t="str">
        <f t="shared" si="7"/>
        <v>{, "", 16, 1, 0, 0, 16, 19,"V"},</v>
      </c>
      <c r="BK29" s="35"/>
      <c r="BL29" s="23"/>
      <c r="BM29" s="23"/>
      <c r="BN29" s="35"/>
      <c r="BO29" s="35"/>
      <c r="BP29" s="35"/>
      <c r="BQ29" s="35"/>
      <c r="BR29" s="35"/>
      <c r="BS29" s="35"/>
      <c r="BT29" s="35"/>
      <c r="BU29" s="35"/>
      <c r="BV29" s="35"/>
      <c r="BW29" s="23"/>
      <c r="BX29" s="23"/>
      <c r="BY29" s="23"/>
      <c r="BZ29" s="35"/>
      <c r="CA29" s="23"/>
      <c r="CB29" s="35" t="str">
        <f t="shared" si="2"/>
        <v>{, "", 16, 28, 0, 0, 16, 46,"A"},</v>
      </c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35" t="str">
        <f t="shared" si="3"/>
        <v>{, "", 16, 55, 0, 0, 16, 73,"A"},</v>
      </c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36"/>
    </row>
    <row r="30" spans="1:104">
      <c r="A30">
        <v>17</v>
      </c>
      <c r="B30" s="30" t="str">
        <f t="shared" si="4"/>
        <v/>
      </c>
      <c r="C30" s="158"/>
      <c r="D30" s="158"/>
      <c r="E30" s="158"/>
      <c r="F30" s="158"/>
      <c r="G30" s="158"/>
      <c r="H30" s="158"/>
      <c r="I30" s="31"/>
      <c r="J30" s="108">
        <v>0</v>
      </c>
      <c r="K30" s="109"/>
      <c r="L30" s="109"/>
      <c r="M30" s="110"/>
      <c r="N30" s="31"/>
      <c r="O30" s="16">
        <v>0</v>
      </c>
      <c r="P30" s="53"/>
      <c r="Q30" s="31"/>
      <c r="R30" s="1" t="s">
        <v>14</v>
      </c>
      <c r="S30" s="31"/>
      <c r="T30" s="30" t="str">
        <f t="shared" si="0"/>
        <v/>
      </c>
      <c r="U30" s="121"/>
      <c r="V30" s="121"/>
      <c r="W30" s="121"/>
      <c r="X30" s="121"/>
      <c r="Y30" s="121"/>
      <c r="Z30" s="121"/>
      <c r="AA30" s="31"/>
      <c r="AB30" s="108">
        <v>0</v>
      </c>
      <c r="AC30" s="109"/>
      <c r="AD30" s="109"/>
      <c r="AE30" s="110"/>
      <c r="AF30" s="31"/>
      <c r="AG30" s="52">
        <v>0</v>
      </c>
      <c r="AH30" s="53"/>
      <c r="AI30" s="31"/>
      <c r="AJ30" s="9" t="s">
        <v>0</v>
      </c>
      <c r="AK30" s="31"/>
      <c r="AL30" s="34" t="str">
        <f t="shared" si="5"/>
        <v/>
      </c>
      <c r="AM30" s="143"/>
      <c r="AN30" s="143"/>
      <c r="AO30" s="143"/>
      <c r="AP30" s="143"/>
      <c r="AQ30" s="143"/>
      <c r="AR30" s="143"/>
      <c r="AS30" s="23"/>
      <c r="AT30" s="114">
        <v>0</v>
      </c>
      <c r="AU30" s="115"/>
      <c r="AV30" s="115"/>
      <c r="AW30" s="116"/>
      <c r="AX30" s="23"/>
      <c r="AY30" s="65">
        <v>0</v>
      </c>
      <c r="AZ30" s="22"/>
      <c r="BA30" s="23"/>
      <c r="BB30" s="66" t="s">
        <v>0</v>
      </c>
      <c r="BC30" s="35"/>
      <c r="BD30" s="35">
        <f t="shared" si="9"/>
        <v>0</v>
      </c>
      <c r="BE30" s="35">
        <f t="shared" si="1"/>
        <v>0</v>
      </c>
      <c r="BF30" s="59">
        <f t="shared" si="6"/>
        <v>0</v>
      </c>
      <c r="BG30" s="26"/>
      <c r="BH30" s="26"/>
      <c r="BI30" s="26"/>
      <c r="BJ30" s="68" t="str">
        <f t="shared" si="7"/>
        <v>{, "", 17, 1, 0, 0, 17, 19,"V"},</v>
      </c>
      <c r="BK30" s="35"/>
      <c r="BL30" s="23"/>
      <c r="BM30" s="23"/>
      <c r="BN30" s="35"/>
      <c r="BO30" s="35"/>
      <c r="BP30" s="35"/>
      <c r="BQ30" s="35"/>
      <c r="BR30" s="35"/>
      <c r="BS30" s="35"/>
      <c r="BT30" s="35"/>
      <c r="BU30" s="35"/>
      <c r="BV30" s="35"/>
      <c r="BW30" s="23"/>
      <c r="BX30" s="23"/>
      <c r="BY30" s="23"/>
      <c r="BZ30" s="35"/>
      <c r="CA30" s="23"/>
      <c r="CB30" s="35" t="str">
        <f t="shared" si="2"/>
        <v>{, "", 17, 28, 0, 0, 17, 46,"A"},</v>
      </c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35" t="str">
        <f t="shared" si="3"/>
        <v>{, "", 17, 55, 0, 0, 17, 73,"A"},</v>
      </c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36"/>
    </row>
    <row r="31" spans="1:104">
      <c r="A31">
        <v>18</v>
      </c>
      <c r="B31" s="34" t="str">
        <f t="shared" si="4"/>
        <v/>
      </c>
      <c r="C31" s="158"/>
      <c r="D31" s="158"/>
      <c r="E31" s="158"/>
      <c r="F31" s="158"/>
      <c r="G31" s="158"/>
      <c r="H31" s="158"/>
      <c r="I31" s="23"/>
      <c r="J31" s="105">
        <v>0</v>
      </c>
      <c r="K31" s="106"/>
      <c r="L31" s="106"/>
      <c r="M31" s="107"/>
      <c r="N31" s="23"/>
      <c r="O31" s="16">
        <v>0</v>
      </c>
      <c r="P31" s="22"/>
      <c r="Q31" s="23"/>
      <c r="R31" s="1" t="s">
        <v>14</v>
      </c>
      <c r="S31" s="23"/>
      <c r="T31" s="34" t="str">
        <f t="shared" si="0"/>
        <v/>
      </c>
      <c r="U31" s="111"/>
      <c r="V31" s="111"/>
      <c r="W31" s="111"/>
      <c r="X31" s="111"/>
      <c r="Y31" s="111"/>
      <c r="Z31" s="111"/>
      <c r="AA31" s="23"/>
      <c r="AB31" s="105">
        <v>0</v>
      </c>
      <c r="AC31" s="106"/>
      <c r="AD31" s="106"/>
      <c r="AE31" s="107"/>
      <c r="AF31" s="23"/>
      <c r="AG31" s="16">
        <v>1</v>
      </c>
      <c r="AH31" s="22"/>
      <c r="AI31" s="23"/>
      <c r="AJ31" s="11" t="s">
        <v>14</v>
      </c>
      <c r="AK31" s="23"/>
      <c r="AL31" s="34" t="str">
        <f t="shared" si="5"/>
        <v/>
      </c>
      <c r="AM31" s="130"/>
      <c r="AN31" s="130"/>
      <c r="AO31" s="130"/>
      <c r="AP31" s="130"/>
      <c r="AQ31" s="130"/>
      <c r="AR31" s="130"/>
      <c r="AS31" s="23"/>
      <c r="AT31" s="105">
        <v>0</v>
      </c>
      <c r="AU31" s="106"/>
      <c r="AV31" s="106"/>
      <c r="AW31" s="107"/>
      <c r="AX31" s="23"/>
      <c r="AY31" s="16">
        <v>0</v>
      </c>
      <c r="AZ31" s="22"/>
      <c r="BA31" s="23"/>
      <c r="BB31" s="11" t="s">
        <v>0</v>
      </c>
      <c r="BC31" s="35"/>
      <c r="BD31" s="35">
        <f t="shared" si="9"/>
        <v>0</v>
      </c>
      <c r="BE31" s="35">
        <f t="shared" si="1"/>
        <v>0</v>
      </c>
      <c r="BF31" s="59">
        <f t="shared" si="6"/>
        <v>0</v>
      </c>
      <c r="BG31" s="26"/>
      <c r="BH31" s="26"/>
      <c r="BI31" s="26"/>
      <c r="BJ31" s="68" t="str">
        <f t="shared" si="7"/>
        <v>{, "", 18, 1, 0, 0, 18, 19,"V"},</v>
      </c>
      <c r="BK31" s="35"/>
      <c r="BL31" s="23"/>
      <c r="BM31" s="23"/>
      <c r="BN31" s="35"/>
      <c r="BO31" s="35"/>
      <c r="BP31" s="35"/>
      <c r="BQ31" s="35"/>
      <c r="BR31" s="35"/>
      <c r="BS31" s="35"/>
      <c r="BT31" s="35"/>
      <c r="BU31" s="35"/>
      <c r="BV31" s="35"/>
      <c r="BW31" s="23"/>
      <c r="BX31" s="23"/>
      <c r="BY31" s="23"/>
      <c r="BZ31" s="35"/>
      <c r="CA31" s="23"/>
      <c r="CB31" s="35" t="str">
        <f t="shared" si="2"/>
        <v>{, "", 18, 28, 0, 1, 18, 46,"V"},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35" t="str">
        <f t="shared" si="3"/>
        <v>{, "", 18, 55, 0, 0, 18, 73,"A"},</v>
      </c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36"/>
    </row>
    <row r="32" spans="1:104">
      <c r="A32">
        <v>19</v>
      </c>
      <c r="B32" s="34" t="str">
        <f t="shared" si="4"/>
        <v/>
      </c>
      <c r="C32" s="158"/>
      <c r="D32" s="158"/>
      <c r="E32" s="158"/>
      <c r="F32" s="158"/>
      <c r="G32" s="158"/>
      <c r="H32" s="158"/>
      <c r="I32" s="23"/>
      <c r="J32" s="105">
        <v>0</v>
      </c>
      <c r="K32" s="106"/>
      <c r="L32" s="106"/>
      <c r="M32" s="107"/>
      <c r="N32" s="23"/>
      <c r="O32" s="16">
        <v>0</v>
      </c>
      <c r="P32" s="22"/>
      <c r="Q32" s="23"/>
      <c r="R32" s="1" t="s">
        <v>14</v>
      </c>
      <c r="S32" s="23"/>
      <c r="T32" s="34" t="str">
        <f t="shared" si="0"/>
        <v/>
      </c>
      <c r="U32" s="111"/>
      <c r="V32" s="111"/>
      <c r="W32" s="111"/>
      <c r="X32" s="111"/>
      <c r="Y32" s="111"/>
      <c r="Z32" s="111"/>
      <c r="AA32" s="23"/>
      <c r="AB32" s="105">
        <v>0</v>
      </c>
      <c r="AC32" s="106"/>
      <c r="AD32" s="106"/>
      <c r="AE32" s="107"/>
      <c r="AF32" s="23"/>
      <c r="AG32" s="16">
        <v>1</v>
      </c>
      <c r="AH32" s="22"/>
      <c r="AI32" s="23"/>
      <c r="AJ32" s="11" t="s">
        <v>14</v>
      </c>
      <c r="AK32" s="23"/>
      <c r="AL32" s="34" t="str">
        <f t="shared" si="5"/>
        <v/>
      </c>
      <c r="AM32" s="130"/>
      <c r="AN32" s="130"/>
      <c r="AO32" s="130"/>
      <c r="AP32" s="130"/>
      <c r="AQ32" s="130"/>
      <c r="AR32" s="130"/>
      <c r="AS32" s="23"/>
      <c r="AT32" s="105">
        <v>0</v>
      </c>
      <c r="AU32" s="106"/>
      <c r="AV32" s="106"/>
      <c r="AW32" s="107"/>
      <c r="AX32" s="23"/>
      <c r="AY32" s="16">
        <v>0</v>
      </c>
      <c r="AZ32" s="22"/>
      <c r="BA32" s="23"/>
      <c r="BB32" s="11" t="s">
        <v>0</v>
      </c>
      <c r="BC32" s="35"/>
      <c r="BD32" s="35">
        <f t="shared" si="9"/>
        <v>0</v>
      </c>
      <c r="BE32" s="35">
        <f t="shared" si="1"/>
        <v>0</v>
      </c>
      <c r="BF32" s="59">
        <f t="shared" si="6"/>
        <v>0</v>
      </c>
      <c r="BG32" s="26"/>
      <c r="BH32" s="26"/>
      <c r="BI32" s="26"/>
      <c r="BJ32" s="68" t="str">
        <f t="shared" si="7"/>
        <v>{, "", 19, 1, 0, 0, 19, 19,"V"},</v>
      </c>
      <c r="BK32" s="35"/>
      <c r="BL32" s="23"/>
      <c r="BM32" s="23"/>
      <c r="BN32" s="35"/>
      <c r="BO32" s="35"/>
      <c r="BP32" s="35"/>
      <c r="BQ32" s="35"/>
      <c r="BR32" s="35"/>
      <c r="BS32" s="35"/>
      <c r="BT32" s="35"/>
      <c r="BU32" s="35"/>
      <c r="BV32" s="35"/>
      <c r="BW32" s="23"/>
      <c r="BX32" s="23"/>
      <c r="BY32" s="23"/>
      <c r="BZ32" s="35"/>
      <c r="CA32" s="23"/>
      <c r="CB32" s="35" t="str">
        <f t="shared" si="2"/>
        <v>{, "", 19, 28, 0, 1, 19, 46,"V"},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35" t="str">
        <f t="shared" si="3"/>
        <v>{, "", 19, 55, 0, 0, 19, 73,"A"},</v>
      </c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36"/>
    </row>
    <row r="33" spans="1:117">
      <c r="A33">
        <v>20</v>
      </c>
      <c r="B33" s="34" t="str">
        <f t="shared" si="4"/>
        <v/>
      </c>
      <c r="C33" s="158"/>
      <c r="D33" s="158"/>
      <c r="E33" s="158"/>
      <c r="F33" s="158"/>
      <c r="G33" s="158"/>
      <c r="H33" s="158"/>
      <c r="I33" s="23"/>
      <c r="J33" s="105">
        <v>0</v>
      </c>
      <c r="K33" s="106"/>
      <c r="L33" s="106"/>
      <c r="M33" s="107"/>
      <c r="N33" s="23"/>
      <c r="O33" s="16">
        <v>0</v>
      </c>
      <c r="P33" s="22"/>
      <c r="Q33" s="23"/>
      <c r="R33" s="1" t="s">
        <v>14</v>
      </c>
      <c r="S33" s="23"/>
      <c r="T33" s="34" t="str">
        <f t="shared" si="0"/>
        <v/>
      </c>
      <c r="U33" s="111"/>
      <c r="V33" s="111"/>
      <c r="W33" s="111"/>
      <c r="X33" s="111"/>
      <c r="Y33" s="111"/>
      <c r="Z33" s="111"/>
      <c r="AA33" s="23"/>
      <c r="AB33" s="105">
        <v>0</v>
      </c>
      <c r="AC33" s="106"/>
      <c r="AD33" s="106"/>
      <c r="AE33" s="107"/>
      <c r="AF33" s="23"/>
      <c r="AG33" s="16">
        <v>1</v>
      </c>
      <c r="AH33" s="22"/>
      <c r="AI33" s="23"/>
      <c r="AJ33" s="11" t="s">
        <v>14</v>
      </c>
      <c r="AK33" s="23"/>
      <c r="AL33" s="34" t="str">
        <f t="shared" si="5"/>
        <v/>
      </c>
      <c r="AM33" s="130"/>
      <c r="AN33" s="130"/>
      <c r="AO33" s="130"/>
      <c r="AP33" s="130"/>
      <c r="AQ33" s="130"/>
      <c r="AR33" s="130"/>
      <c r="AS33" s="23"/>
      <c r="AT33" s="105">
        <v>0</v>
      </c>
      <c r="AU33" s="106"/>
      <c r="AV33" s="106"/>
      <c r="AW33" s="107"/>
      <c r="AX33" s="23"/>
      <c r="AY33" s="16">
        <v>0</v>
      </c>
      <c r="AZ33" s="22"/>
      <c r="BA33" s="23"/>
      <c r="BB33" s="11" t="s">
        <v>0</v>
      </c>
      <c r="BC33" s="35"/>
      <c r="BD33" s="35">
        <f t="shared" si="9"/>
        <v>0</v>
      </c>
      <c r="BE33" s="35">
        <f t="shared" si="1"/>
        <v>0</v>
      </c>
      <c r="BF33" s="59">
        <f t="shared" si="6"/>
        <v>0</v>
      </c>
      <c r="BG33" s="26"/>
      <c r="BH33" s="26"/>
      <c r="BI33" s="26"/>
      <c r="BJ33" s="68" t="str">
        <f t="shared" si="7"/>
        <v>{, "", 20, 1, 0, 0, 20, 19,"V"},</v>
      </c>
      <c r="BK33" s="35"/>
      <c r="BL33" s="23"/>
      <c r="BM33" s="23"/>
      <c r="BN33" s="35"/>
      <c r="BO33" s="35"/>
      <c r="BP33" s="35"/>
      <c r="BQ33" s="35"/>
      <c r="BR33" s="35"/>
      <c r="BS33" s="35"/>
      <c r="BT33" s="35"/>
      <c r="BU33" s="35"/>
      <c r="BV33" s="35"/>
      <c r="BW33" s="23"/>
      <c r="BX33" s="23"/>
      <c r="BY33" s="23"/>
      <c r="BZ33" s="35"/>
      <c r="CA33" s="23"/>
      <c r="CB33" s="35" t="str">
        <f t="shared" si="2"/>
        <v>{, "", 20, 28, 0, 1, 20, 46,"V"},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35" t="str">
        <f t="shared" si="3"/>
        <v>{, "", 20, 55, 0, 0, 20, 73,"A"},</v>
      </c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36"/>
    </row>
    <row r="34" spans="1:117">
      <c r="A34">
        <v>21</v>
      </c>
      <c r="B34" s="34" t="str">
        <f t="shared" si="4"/>
        <v/>
      </c>
      <c r="C34" s="158"/>
      <c r="D34" s="158"/>
      <c r="E34" s="158"/>
      <c r="F34" s="158"/>
      <c r="G34" s="158"/>
      <c r="H34" s="158"/>
      <c r="I34" s="23"/>
      <c r="J34" s="105">
        <v>0</v>
      </c>
      <c r="K34" s="106"/>
      <c r="L34" s="106"/>
      <c r="M34" s="107"/>
      <c r="N34" s="23"/>
      <c r="O34" s="16">
        <v>0</v>
      </c>
      <c r="P34" s="22"/>
      <c r="Q34" s="23"/>
      <c r="R34" s="1" t="s">
        <v>14</v>
      </c>
      <c r="S34" s="23"/>
      <c r="T34" s="34" t="str">
        <f t="shared" si="0"/>
        <v/>
      </c>
      <c r="U34" s="111"/>
      <c r="V34" s="111"/>
      <c r="W34" s="111"/>
      <c r="X34" s="111"/>
      <c r="Y34" s="111"/>
      <c r="Z34" s="111"/>
      <c r="AA34" s="23"/>
      <c r="AB34" s="105">
        <v>0</v>
      </c>
      <c r="AC34" s="106"/>
      <c r="AD34" s="106"/>
      <c r="AE34" s="107"/>
      <c r="AF34" s="23"/>
      <c r="AG34" s="16">
        <v>0</v>
      </c>
      <c r="AH34" s="22"/>
      <c r="AI34" s="23"/>
      <c r="AJ34" s="11" t="s">
        <v>14</v>
      </c>
      <c r="AK34" s="23"/>
      <c r="AL34" s="34" t="str">
        <f t="shared" si="5"/>
        <v/>
      </c>
      <c r="AM34" s="130"/>
      <c r="AN34" s="130"/>
      <c r="AO34" s="130"/>
      <c r="AP34" s="130"/>
      <c r="AQ34" s="130"/>
      <c r="AR34" s="130"/>
      <c r="AS34" s="23"/>
      <c r="AT34" s="105">
        <v>0</v>
      </c>
      <c r="AU34" s="106"/>
      <c r="AV34" s="106"/>
      <c r="AW34" s="107"/>
      <c r="AX34" s="23"/>
      <c r="AY34" s="16">
        <v>0</v>
      </c>
      <c r="AZ34" s="22"/>
      <c r="BA34" s="23"/>
      <c r="BB34" s="11" t="s">
        <v>0</v>
      </c>
      <c r="BC34" s="35"/>
      <c r="BD34" s="35">
        <f t="shared" si="9"/>
        <v>0</v>
      </c>
      <c r="BE34" s="35">
        <f t="shared" si="1"/>
        <v>0</v>
      </c>
      <c r="BF34" s="59">
        <f t="shared" si="6"/>
        <v>0</v>
      </c>
      <c r="BG34" s="26"/>
      <c r="BH34" s="26"/>
      <c r="BI34" s="26"/>
      <c r="BJ34" s="68" t="str">
        <f t="shared" si="7"/>
        <v>{, "", 21, 1, 0, 0, 21, 19,"V"},</v>
      </c>
      <c r="BK34" s="35"/>
      <c r="BL34" s="23"/>
      <c r="BM34" s="23"/>
      <c r="BN34" s="35"/>
      <c r="BO34" s="35"/>
      <c r="BP34" s="35"/>
      <c r="BQ34" s="35"/>
      <c r="BR34" s="35"/>
      <c r="BS34" s="35"/>
      <c r="BT34" s="35"/>
      <c r="BU34" s="35"/>
      <c r="BV34" s="35"/>
      <c r="BW34" s="23"/>
      <c r="BX34" s="23"/>
      <c r="BY34" s="23"/>
      <c r="BZ34" s="35"/>
      <c r="CA34" s="23"/>
      <c r="CB34" s="35" t="str">
        <f t="shared" si="2"/>
        <v>{, "", 21, 28, 0, 0, 21, 46,"V"},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35" t="str">
        <f t="shared" si="3"/>
        <v>{, "", 21, 55, 0, 0, 21, 73,"A"},</v>
      </c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36"/>
    </row>
    <row r="35" spans="1:117">
      <c r="A35">
        <v>22</v>
      </c>
      <c r="B35" s="34" t="str">
        <f t="shared" si="4"/>
        <v/>
      </c>
      <c r="C35" s="158"/>
      <c r="D35" s="158"/>
      <c r="E35" s="158"/>
      <c r="F35" s="158"/>
      <c r="G35" s="158"/>
      <c r="H35" s="158"/>
      <c r="I35" s="23"/>
      <c r="J35" s="105">
        <v>0</v>
      </c>
      <c r="K35" s="106"/>
      <c r="L35" s="106"/>
      <c r="M35" s="107"/>
      <c r="N35" s="23"/>
      <c r="O35" s="16">
        <v>0</v>
      </c>
      <c r="P35" s="22"/>
      <c r="Q35" s="23"/>
      <c r="R35" s="1" t="s">
        <v>14</v>
      </c>
      <c r="S35" s="23"/>
      <c r="T35" s="34" t="str">
        <f t="shared" si="0"/>
        <v/>
      </c>
      <c r="U35" s="111"/>
      <c r="V35" s="111"/>
      <c r="W35" s="111"/>
      <c r="X35" s="111"/>
      <c r="Y35" s="111"/>
      <c r="Z35" s="111"/>
      <c r="AA35" s="23"/>
      <c r="AB35" s="105">
        <v>0</v>
      </c>
      <c r="AC35" s="106"/>
      <c r="AD35" s="106"/>
      <c r="AE35" s="107"/>
      <c r="AF35" s="23"/>
      <c r="AG35" s="16">
        <v>0</v>
      </c>
      <c r="AH35" s="22"/>
      <c r="AI35" s="23"/>
      <c r="AJ35" s="11" t="s">
        <v>14</v>
      </c>
      <c r="AK35" s="23"/>
      <c r="AL35" s="34" t="str">
        <f t="shared" si="5"/>
        <v/>
      </c>
      <c r="AM35" s="130"/>
      <c r="AN35" s="130"/>
      <c r="AO35" s="130"/>
      <c r="AP35" s="130"/>
      <c r="AQ35" s="130"/>
      <c r="AR35" s="130"/>
      <c r="AS35" s="23"/>
      <c r="AT35" s="105">
        <v>0</v>
      </c>
      <c r="AU35" s="106"/>
      <c r="AV35" s="106"/>
      <c r="AW35" s="107"/>
      <c r="AX35" s="23"/>
      <c r="AY35" s="16">
        <v>1</v>
      </c>
      <c r="AZ35" s="22"/>
      <c r="BA35" s="23"/>
      <c r="BB35" s="11" t="s">
        <v>14</v>
      </c>
      <c r="BC35" s="35"/>
      <c r="BD35" s="35">
        <f t="shared" si="9"/>
        <v>0</v>
      </c>
      <c r="BE35" s="35">
        <f t="shared" si="1"/>
        <v>0</v>
      </c>
      <c r="BF35" s="59">
        <f t="shared" si="6"/>
        <v>0</v>
      </c>
      <c r="BG35" s="26"/>
      <c r="BH35" s="26"/>
      <c r="BI35" s="26"/>
      <c r="BJ35" s="68" t="str">
        <f t="shared" si="7"/>
        <v>{, "", 22, 1, 0, 0, 22, 19,"V"},</v>
      </c>
      <c r="BK35" s="35"/>
      <c r="BL35" s="23"/>
      <c r="BM35" s="23"/>
      <c r="BN35" s="35"/>
      <c r="BO35" s="35"/>
      <c r="BP35" s="35"/>
      <c r="BQ35" s="35"/>
      <c r="BR35" s="35"/>
      <c r="BS35" s="35"/>
      <c r="BT35" s="35"/>
      <c r="BU35" s="35"/>
      <c r="BV35" s="35"/>
      <c r="BW35" s="23"/>
      <c r="BX35" s="23"/>
      <c r="BY35" s="23"/>
      <c r="BZ35" s="35"/>
      <c r="CA35" s="23"/>
      <c r="CB35" s="35" t="str">
        <f t="shared" si="2"/>
        <v>{, "", 22, 28, 0, 0, 22, 46,"V"},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35" t="str">
        <f t="shared" si="3"/>
        <v>{, "", 22, 55, 0, 1, 22, 73,"V"},</v>
      </c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36"/>
    </row>
    <row r="36" spans="1:117">
      <c r="A36">
        <v>23</v>
      </c>
      <c r="B36" s="34" t="str">
        <f t="shared" si="4"/>
        <v/>
      </c>
      <c r="C36" s="158"/>
      <c r="D36" s="158"/>
      <c r="E36" s="158"/>
      <c r="F36" s="158"/>
      <c r="G36" s="158"/>
      <c r="H36" s="158"/>
      <c r="I36" s="23"/>
      <c r="J36" s="105">
        <v>0</v>
      </c>
      <c r="K36" s="106"/>
      <c r="L36" s="106"/>
      <c r="M36" s="107"/>
      <c r="N36" s="23"/>
      <c r="O36" s="16">
        <v>0</v>
      </c>
      <c r="P36" s="22"/>
      <c r="Q36" s="23"/>
      <c r="R36" s="1" t="s">
        <v>14</v>
      </c>
      <c r="S36" s="23"/>
      <c r="T36" s="34" t="str">
        <f t="shared" si="0"/>
        <v/>
      </c>
      <c r="U36" s="111"/>
      <c r="V36" s="111"/>
      <c r="W36" s="111"/>
      <c r="X36" s="111"/>
      <c r="Y36" s="111"/>
      <c r="Z36" s="111"/>
      <c r="AA36" s="23"/>
      <c r="AB36" s="105">
        <v>0</v>
      </c>
      <c r="AC36" s="106"/>
      <c r="AD36" s="106"/>
      <c r="AE36" s="107"/>
      <c r="AF36" s="23"/>
      <c r="AG36" s="16">
        <v>0</v>
      </c>
      <c r="AH36" s="22"/>
      <c r="AI36" s="23"/>
      <c r="AJ36" s="11" t="s">
        <v>14</v>
      </c>
      <c r="AK36" s="23"/>
      <c r="AL36" s="34" t="str">
        <f t="shared" si="5"/>
        <v/>
      </c>
      <c r="AM36" s="130"/>
      <c r="AN36" s="130"/>
      <c r="AO36" s="130"/>
      <c r="AP36" s="130"/>
      <c r="AQ36" s="130"/>
      <c r="AR36" s="130"/>
      <c r="AS36" s="23"/>
      <c r="AT36" s="105">
        <v>0</v>
      </c>
      <c r="AU36" s="106"/>
      <c r="AV36" s="106"/>
      <c r="AW36" s="107"/>
      <c r="AX36" s="23"/>
      <c r="AY36" s="16">
        <v>1</v>
      </c>
      <c r="AZ36" s="22"/>
      <c r="BA36" s="23"/>
      <c r="BB36" s="11" t="s">
        <v>14</v>
      </c>
      <c r="BC36" s="35"/>
      <c r="BD36" s="35">
        <f t="shared" si="9"/>
        <v>0</v>
      </c>
      <c r="BE36" s="35">
        <f t="shared" si="1"/>
        <v>0</v>
      </c>
      <c r="BF36" s="59">
        <f t="shared" si="6"/>
        <v>0</v>
      </c>
      <c r="BG36" s="26"/>
      <c r="BH36" s="26"/>
      <c r="BI36" s="26"/>
      <c r="BJ36" s="68" t="str">
        <f t="shared" si="7"/>
        <v>{, "", 23, 1, 0, 0, 23, 19,"V"},</v>
      </c>
      <c r="BK36" s="35"/>
      <c r="BL36" s="23"/>
      <c r="BM36" s="23"/>
      <c r="BN36" s="35"/>
      <c r="BO36" s="35"/>
      <c r="BP36" s="35"/>
      <c r="BQ36" s="35"/>
      <c r="BR36" s="35"/>
      <c r="BS36" s="35"/>
      <c r="BT36" s="35"/>
      <c r="BU36" s="35"/>
      <c r="BV36" s="35"/>
      <c r="BW36" s="23"/>
      <c r="BX36" s="23"/>
      <c r="BY36" s="23"/>
      <c r="BZ36" s="35"/>
      <c r="CA36" s="23"/>
      <c r="CB36" s="35" t="str">
        <f t="shared" si="2"/>
        <v>{, "", 23, 28, 0, 0, 23, 46,"V"},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35" t="str">
        <f t="shared" si="3"/>
        <v>{, "", 23, 55, 0, 1, 23, 73,"V"},</v>
      </c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36"/>
    </row>
    <row r="37" spans="1:117" ht="15" thickBot="1">
      <c r="A37">
        <v>24</v>
      </c>
      <c r="B37" s="54" t="str">
        <f>SUBSTITUTE(PROPER(C37)," ","")</f>
        <v/>
      </c>
      <c r="C37" s="158"/>
      <c r="D37" s="158"/>
      <c r="E37" s="158"/>
      <c r="F37" s="158"/>
      <c r="G37" s="158"/>
      <c r="H37" s="158"/>
      <c r="I37" s="37"/>
      <c r="J37" s="131">
        <v>0</v>
      </c>
      <c r="K37" s="132"/>
      <c r="L37" s="132"/>
      <c r="M37" s="133"/>
      <c r="N37" s="37"/>
      <c r="O37" s="16">
        <v>0</v>
      </c>
      <c r="P37" s="55"/>
      <c r="Q37" s="37"/>
      <c r="R37" s="1" t="s">
        <v>14</v>
      </c>
      <c r="S37" s="37"/>
      <c r="T37" s="54" t="str">
        <f t="shared" si="0"/>
        <v/>
      </c>
      <c r="U37" s="118"/>
      <c r="V37" s="118"/>
      <c r="W37" s="118"/>
      <c r="X37" s="118"/>
      <c r="Y37" s="118"/>
      <c r="Z37" s="118"/>
      <c r="AA37" s="37"/>
      <c r="AB37" s="131">
        <v>0</v>
      </c>
      <c r="AC37" s="132"/>
      <c r="AD37" s="132"/>
      <c r="AE37" s="133"/>
      <c r="AF37" s="37"/>
      <c r="AG37" s="81">
        <v>1</v>
      </c>
      <c r="AH37" s="55"/>
      <c r="AI37" s="37"/>
      <c r="AJ37" s="56" t="s">
        <v>14</v>
      </c>
      <c r="AK37" s="37"/>
      <c r="AL37" s="54" t="str">
        <f t="shared" si="5"/>
        <v/>
      </c>
      <c r="AM37" s="134"/>
      <c r="AN37" s="134"/>
      <c r="AO37" s="134"/>
      <c r="AP37" s="134"/>
      <c r="AQ37" s="134"/>
      <c r="AR37" s="134"/>
      <c r="AS37" s="37"/>
      <c r="AT37" s="131">
        <v>0</v>
      </c>
      <c r="AU37" s="132"/>
      <c r="AV37" s="132"/>
      <c r="AW37" s="133"/>
      <c r="AX37" s="37"/>
      <c r="AY37" s="81">
        <v>0</v>
      </c>
      <c r="AZ37" s="55"/>
      <c r="BA37" s="37"/>
      <c r="BB37" s="56" t="s">
        <v>0</v>
      </c>
      <c r="BC37" s="38"/>
      <c r="BD37" s="35">
        <f t="shared" si="9"/>
        <v>0</v>
      </c>
      <c r="BE37" s="38">
        <f t="shared" si="1"/>
        <v>0</v>
      </c>
      <c r="BF37" s="61">
        <f t="shared" si="6"/>
        <v>0</v>
      </c>
      <c r="BG37" s="26"/>
      <c r="BH37" s="26"/>
      <c r="BI37" s="26"/>
      <c r="BJ37" s="69" t="str">
        <f t="shared" si="7"/>
        <v>{, "", 24, 1, 0, 0, 24, 19,"V"},</v>
      </c>
      <c r="BK37" s="38"/>
      <c r="BL37" s="37"/>
      <c r="BM37" s="37"/>
      <c r="BN37" s="38"/>
      <c r="BO37" s="38"/>
      <c r="BP37" s="38"/>
      <c r="BQ37" s="38"/>
      <c r="BR37" s="38"/>
      <c r="BS37" s="38"/>
      <c r="BT37" s="38"/>
      <c r="BU37" s="38"/>
      <c r="BV37" s="38"/>
      <c r="BW37" s="37"/>
      <c r="BX37" s="37"/>
      <c r="BY37" s="37"/>
      <c r="BZ37" s="38"/>
      <c r="CA37" s="37"/>
      <c r="CB37" s="38" t="str">
        <f t="shared" si="2"/>
        <v>{, "", 24, 28, 0, 1, 24, 46,"V"},</v>
      </c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8" t="str">
        <f t="shared" si="3"/>
        <v>{, "", 24, 55, 0, 0, 24, 73,"A"},</v>
      </c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9"/>
    </row>
    <row r="38" spans="1:117">
      <c r="A38">
        <v>25</v>
      </c>
      <c r="C38" s="139" t="s">
        <v>29</v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1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</row>
    <row r="39" spans="1:117">
      <c r="AJ39" s="23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</row>
    <row r="40" spans="1:117">
      <c r="BC40" s="26"/>
      <c r="BD40" s="26"/>
      <c r="BE40" s="26"/>
      <c r="BF40" s="26"/>
      <c r="BG40" s="26"/>
      <c r="BH40" s="26"/>
      <c r="BI40" s="26"/>
      <c r="BJ40" s="26"/>
      <c r="BK40" s="26"/>
      <c r="BL40" s="51"/>
      <c r="BM40" s="26"/>
      <c r="BN40" s="51"/>
      <c r="BO40" s="26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</row>
    <row r="41" spans="1:117"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CA41" s="51"/>
    </row>
    <row r="42" spans="1:117">
      <c r="BC42" s="26"/>
      <c r="BD42" s="26"/>
      <c r="BE42" s="26"/>
      <c r="BF42" s="26"/>
      <c r="BG42" s="26"/>
      <c r="BH42" s="26"/>
      <c r="BI42" s="26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</row>
    <row r="43" spans="1:117"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X43" s="51"/>
      <c r="CB43" s="51"/>
      <c r="CT43" s="51"/>
    </row>
    <row r="44" spans="1:117">
      <c r="BC44" s="26"/>
      <c r="BD44" s="26"/>
      <c r="BE44" s="26"/>
      <c r="BF44" s="26"/>
      <c r="BG44" s="26"/>
      <c r="BH44" s="26"/>
      <c r="BI44" s="26"/>
      <c r="BJ44" s="51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CE44" s="51"/>
    </row>
    <row r="45" spans="1:117"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</row>
    <row r="46" spans="1:117">
      <c r="BC46" s="26"/>
      <c r="BD46" s="26"/>
      <c r="BE46" s="26"/>
      <c r="BF46" s="26"/>
      <c r="BG46" s="26"/>
      <c r="BH46" s="26"/>
      <c r="BI46" s="26"/>
      <c r="BJ46" s="51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</row>
    <row r="47" spans="1:117" ht="15" thickBot="1">
      <c r="BC47" s="26"/>
      <c r="BD47" s="26"/>
      <c r="BE47" s="26"/>
      <c r="BF47" s="26"/>
      <c r="BG47" s="26"/>
      <c r="BH47" s="26" t="s">
        <v>291</v>
      </c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</row>
    <row r="48" spans="1:117">
      <c r="BC48" s="26"/>
      <c r="BD48" s="26"/>
      <c r="BE48" s="26"/>
      <c r="BF48" s="26"/>
      <c r="BG48" s="26"/>
      <c r="BH48" s="67" t="s">
        <v>290</v>
      </c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3"/>
    </row>
    <row r="49" spans="53:117">
      <c r="BA49" t="s">
        <v>311</v>
      </c>
      <c r="BC49" s="26"/>
      <c r="BD49" s="26"/>
      <c r="BE49" s="26"/>
      <c r="BF49" s="26"/>
      <c r="BG49" s="26"/>
      <c r="BH49" s="68"/>
      <c r="BI49" s="35"/>
      <c r="BJ49" s="43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36"/>
    </row>
    <row r="50" spans="53:117">
      <c r="BC50" s="26"/>
      <c r="BD50" s="26"/>
      <c r="BE50" s="26"/>
      <c r="BF50" s="26"/>
      <c r="BG50" s="26"/>
      <c r="BH50" s="68"/>
      <c r="BI50" s="35"/>
      <c r="BJ50" s="43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36"/>
    </row>
    <row r="51" spans="53:117">
      <c r="BC51" s="26"/>
      <c r="BD51" s="26"/>
      <c r="BE51" s="26"/>
      <c r="BF51" s="26"/>
      <c r="BG51" s="26"/>
      <c r="BH51" s="68"/>
      <c r="BI51" s="35"/>
      <c r="BJ51" s="43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36"/>
    </row>
    <row r="52" spans="53:117">
      <c r="BC52" s="26"/>
      <c r="BD52" s="26"/>
      <c r="BE52" s="26"/>
      <c r="BF52" s="26"/>
      <c r="BG52" s="26"/>
      <c r="BH52" s="68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36"/>
    </row>
    <row r="53" spans="53:117">
      <c r="BA53" t="s">
        <v>311</v>
      </c>
      <c r="BC53" s="26"/>
      <c r="BD53" s="26"/>
      <c r="BE53" s="26"/>
      <c r="BF53" s="26"/>
      <c r="BG53" s="26"/>
      <c r="BH53" s="68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36"/>
    </row>
    <row r="54" spans="53:117">
      <c r="BC54" s="26"/>
      <c r="BD54" s="26"/>
      <c r="BE54" s="26"/>
      <c r="BF54" s="26"/>
      <c r="BG54" s="26"/>
      <c r="BH54" s="68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36"/>
    </row>
    <row r="55" spans="53:117">
      <c r="BC55" s="26"/>
      <c r="BD55" s="26"/>
      <c r="BE55" s="26"/>
      <c r="BF55" s="26"/>
      <c r="BG55" s="26"/>
      <c r="BH55" s="68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36"/>
    </row>
    <row r="56" spans="53:117" ht="15" thickBot="1">
      <c r="BC56" s="26"/>
      <c r="BD56" s="26"/>
      <c r="BE56" s="26"/>
      <c r="BF56" s="26"/>
      <c r="BG56" s="26"/>
      <c r="BH56" s="69" t="s">
        <v>289</v>
      </c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9"/>
    </row>
    <row r="57" spans="53:117"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</row>
  </sheetData>
  <mergeCells count="154"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4.4"/>
  <cols>
    <col min="1" max="1" width="21.44140625" customWidth="1"/>
    <col min="2" max="2" width="37.88671875" customWidth="1"/>
    <col min="3" max="3" width="8.88671875" style="48"/>
  </cols>
  <sheetData>
    <row r="1" spans="1:7" ht="22.2" customHeight="1">
      <c r="A1" s="159" t="s">
        <v>159</v>
      </c>
      <c r="B1" s="159"/>
      <c r="C1" s="160" t="s">
        <v>270</v>
      </c>
      <c r="D1" s="160"/>
      <c r="E1" s="160"/>
      <c r="F1" s="160"/>
      <c r="G1" s="160"/>
    </row>
    <row r="2" spans="1:7" ht="28.8">
      <c r="A2" t="s">
        <v>161</v>
      </c>
      <c r="B2" s="46" t="s">
        <v>114</v>
      </c>
      <c r="C2" s="49" t="s">
        <v>160</v>
      </c>
    </row>
    <row r="3" spans="1:7" ht="15">
      <c r="A3" t="s">
        <v>278</v>
      </c>
      <c r="B3" s="45" t="s">
        <v>130</v>
      </c>
      <c r="C3" s="47">
        <v>1</v>
      </c>
      <c r="E3" s="26" t="str">
        <f>("{"&amp;A3&amp;", "&amp;B3&amp;", "&amp;C3&amp;"},")</f>
        <v>{CpXadcDia_T, Die_Temperature, 1},</v>
      </c>
    </row>
    <row r="4" spans="1:7" ht="15">
      <c r="A4" t="s">
        <v>279</v>
      </c>
      <c r="B4" s="45" t="s">
        <v>131</v>
      </c>
      <c r="C4" s="47">
        <v>1</v>
      </c>
      <c r="E4" s="26" t="str">
        <f t="shared" ref="E4:E35" si="0">("{"&amp;A4&amp;", "&amp;B4&amp;", "&amp;C4&amp;"},")</f>
        <v>{CpAdcMinDia_T, Min_Die_Temperature, 1},</v>
      </c>
    </row>
    <row r="5" spans="1:7" ht="15">
      <c r="A5" t="s">
        <v>280</v>
      </c>
      <c r="B5" s="45" t="s">
        <v>133</v>
      </c>
      <c r="C5" s="47">
        <v>1</v>
      </c>
      <c r="E5" s="26" t="str">
        <f t="shared" si="0"/>
        <v>{CpAdcMaxDia_T, Max_Die_Temperature, 1},</v>
      </c>
    </row>
    <row r="6" spans="1:7" ht="15" hidden="1">
      <c r="B6" s="45" t="s">
        <v>134</v>
      </c>
      <c r="C6" s="47">
        <v>3</v>
      </c>
      <c r="E6" s="26"/>
    </row>
    <row r="7" spans="1:7" ht="15" hidden="1">
      <c r="B7" s="45" t="s">
        <v>115</v>
      </c>
      <c r="C7" s="47">
        <v>3</v>
      </c>
      <c r="E7" s="26"/>
    </row>
    <row r="8" spans="1:7" ht="15" hidden="1">
      <c r="B8" s="45" t="s">
        <v>116</v>
      </c>
      <c r="C8" s="47">
        <v>3</v>
      </c>
      <c r="E8" s="26"/>
    </row>
    <row r="9" spans="1:7" ht="15" hidden="1">
      <c r="B9" s="45" t="s">
        <v>135</v>
      </c>
      <c r="C9" s="47">
        <v>3</v>
      </c>
      <c r="E9" s="26"/>
    </row>
    <row r="10" spans="1:7" ht="15" hidden="1">
      <c r="B10" s="45" t="s">
        <v>117</v>
      </c>
      <c r="C10" s="47">
        <v>3</v>
      </c>
      <c r="E10" s="26"/>
    </row>
    <row r="11" spans="1:7" ht="15" hidden="1">
      <c r="B11" s="45" t="s">
        <v>118</v>
      </c>
      <c r="C11" s="47">
        <v>3</v>
      </c>
      <c r="E11" s="26"/>
    </row>
    <row r="12" spans="1:7" ht="15">
      <c r="A12" t="s">
        <v>168</v>
      </c>
      <c r="B12" s="45" t="s">
        <v>136</v>
      </c>
      <c r="C12" s="47">
        <v>3</v>
      </c>
      <c r="E12" s="26" t="str">
        <f t="shared" si="0"/>
        <v>{PlVbram1V0, Vbram_PL_1V0, 3},</v>
      </c>
    </row>
    <row r="13" spans="1:7" ht="15">
      <c r="A13" t="s">
        <v>169</v>
      </c>
      <c r="B13" s="45" t="s">
        <v>137</v>
      </c>
      <c r="C13" s="47">
        <v>3</v>
      </c>
      <c r="E13" s="26" t="str">
        <f t="shared" si="0"/>
        <v>{PlVbramMin1V0, Min_Vbram_PL_1V0, 3},</v>
      </c>
    </row>
    <row r="14" spans="1:7" ht="15">
      <c r="A14" t="s">
        <v>170</v>
      </c>
      <c r="B14" s="45" t="s">
        <v>138</v>
      </c>
      <c r="C14" s="47">
        <v>3</v>
      </c>
      <c r="E14" s="26" t="str">
        <f t="shared" si="0"/>
        <v>{PlVbramMax1V0, Max_Vbram_PL_1V0, 3},</v>
      </c>
    </row>
    <row r="15" spans="1:7" ht="15">
      <c r="A15" t="s">
        <v>162</v>
      </c>
      <c r="B15" s="45" t="s">
        <v>139</v>
      </c>
      <c r="C15" s="47">
        <v>3</v>
      </c>
      <c r="E15" s="26" t="str">
        <f t="shared" si="0"/>
        <v>{PsVccint1V0, Vccint_PS_1V0, 3},</v>
      </c>
    </row>
    <row r="16" spans="1:7" ht="15">
      <c r="A16" t="s">
        <v>163</v>
      </c>
      <c r="B16" s="45" t="s">
        <v>140</v>
      </c>
      <c r="C16" s="47">
        <v>3</v>
      </c>
      <c r="E16" s="26" t="str">
        <f t="shared" si="0"/>
        <v>{PsVintMin1V0, Min_Vccint_PS_1V0, 3},</v>
      </c>
    </row>
    <row r="17" spans="1:5" ht="15">
      <c r="A17" t="s">
        <v>164</v>
      </c>
      <c r="B17" s="45" t="s">
        <v>141</v>
      </c>
      <c r="C17" s="47">
        <v>3</v>
      </c>
      <c r="E17" s="26" t="str">
        <f t="shared" si="0"/>
        <v>{PsVintMax1V0, Max_Vccint_PS_1V0, 3},</v>
      </c>
    </row>
    <row r="18" spans="1:5" ht="15">
      <c r="A18" t="s">
        <v>165</v>
      </c>
      <c r="B18" s="45" t="s">
        <v>142</v>
      </c>
      <c r="C18" s="47">
        <v>3</v>
      </c>
      <c r="E18" s="26" t="str">
        <f t="shared" si="0"/>
        <v>{PsVccaux1V8, Vccaux_PS_1V8, 3},</v>
      </c>
    </row>
    <row r="19" spans="1:5" ht="15">
      <c r="A19" t="s">
        <v>166</v>
      </c>
      <c r="B19" s="45" t="s">
        <v>143</v>
      </c>
      <c r="C19" s="47">
        <v>3</v>
      </c>
      <c r="E19" s="26" t="str">
        <f t="shared" si="0"/>
        <v>{PsVauxMin1V8, Min_Vccaux_PS_1V8, 3},</v>
      </c>
    </row>
    <row r="20" spans="1:5" ht="15">
      <c r="A20" t="s">
        <v>167</v>
      </c>
      <c r="B20" s="45" t="s">
        <v>144</v>
      </c>
      <c r="C20" s="47">
        <v>3</v>
      </c>
      <c r="E20" s="26" t="str">
        <f t="shared" si="0"/>
        <v>{PsVauxMax1V8, Max_Vccaux_PS_1V8, 3},</v>
      </c>
    </row>
    <row r="21" spans="1:5" ht="15">
      <c r="A21" t="s">
        <v>171</v>
      </c>
      <c r="B21" s="45" t="s">
        <v>145</v>
      </c>
      <c r="C21" s="47">
        <v>3</v>
      </c>
      <c r="E21" s="26" t="str">
        <f t="shared" si="0"/>
        <v>{PsVccmem1V35, Vccmem_PS_1V35, 3},</v>
      </c>
    </row>
    <row r="22" spans="1:5" ht="15">
      <c r="A22" t="s">
        <v>172</v>
      </c>
      <c r="B22" s="45" t="s">
        <v>146</v>
      </c>
      <c r="C22" s="47">
        <v>3</v>
      </c>
      <c r="E22" s="26" t="str">
        <f t="shared" si="0"/>
        <v>{PsVmemMin1V35, Min_Vccmem_PS_1V35, 3},</v>
      </c>
    </row>
    <row r="23" spans="1:5" ht="15">
      <c r="A23" t="s">
        <v>173</v>
      </c>
      <c r="B23" s="45" t="s">
        <v>209</v>
      </c>
      <c r="C23" s="47">
        <v>3</v>
      </c>
      <c r="E23" s="26" t="str">
        <f t="shared" si="0"/>
        <v>{PsVmemMax1V35, Max_Vccmem_PS_1V35, 3},</v>
      </c>
    </row>
    <row r="24" spans="1:5" ht="15">
      <c r="A24" t="s">
        <v>127</v>
      </c>
      <c r="B24" s="45" t="s">
        <v>148</v>
      </c>
      <c r="C24" s="47">
        <v>1</v>
      </c>
      <c r="E24" s="26" t="str">
        <f>("{"&amp;A24&amp;", "&amp;B24&amp;", "&amp;C24&amp;"},")</f>
        <v>{Blank54, Vp_Vn_DDR3L_Ref, 1},</v>
      </c>
    </row>
    <row r="25" spans="1:5" ht="15">
      <c r="A25" t="s">
        <v>189</v>
      </c>
      <c r="B25" s="45" t="s">
        <v>149</v>
      </c>
      <c r="C25" s="47">
        <v>4</v>
      </c>
      <c r="E25" s="26" t="str">
        <f t="shared" si="0"/>
        <v>{CpSw3V3, Aux0_Brd_3V3_SW, 4},</v>
      </c>
    </row>
    <row r="26" spans="1:5" ht="15">
      <c r="A26" t="s">
        <v>184</v>
      </c>
      <c r="B26" s="45" t="s">
        <v>150</v>
      </c>
      <c r="C26" s="47">
        <v>4</v>
      </c>
      <c r="E26" s="26" t="str">
        <f t="shared" si="0"/>
        <v>{Brd2V5, Aux1_Brd_2V5, 4},</v>
      </c>
    </row>
    <row r="27" spans="1:5" ht="15">
      <c r="A27" t="s">
        <v>182</v>
      </c>
      <c r="B27" s="45" t="s">
        <v>151</v>
      </c>
      <c r="C27" s="47">
        <v>2</v>
      </c>
      <c r="E27" s="26" t="str">
        <f t="shared" si="0"/>
        <v>{RoboBrd1V2, Aux2_Brd_1V2, 2},</v>
      </c>
    </row>
    <row r="28" spans="1:5" ht="15">
      <c r="A28" t="s">
        <v>181</v>
      </c>
      <c r="B28" s="45" t="s">
        <v>152</v>
      </c>
      <c r="C28" s="47">
        <v>1.48</v>
      </c>
      <c r="E28" s="26" t="str">
        <f t="shared" si="0"/>
        <v>{Pex1V0, Aux3_Brd_1V0_PEX, 1.48},</v>
      </c>
    </row>
    <row r="29" spans="1:5" ht="15">
      <c r="A29" t="s">
        <v>177</v>
      </c>
      <c r="B29" s="45" t="s">
        <v>119</v>
      </c>
      <c r="C29" s="47">
        <v>1.48</v>
      </c>
      <c r="E29" s="26" t="str">
        <f t="shared" si="0"/>
        <v>{PlMgt1V0, Aux4_Brd_MGT_1V0, 1.48},</v>
      </c>
    </row>
    <row r="30" spans="1:5" ht="15">
      <c r="A30" t="s">
        <v>237</v>
      </c>
      <c r="B30" s="45" t="s">
        <v>153</v>
      </c>
      <c r="C30" s="47">
        <v>2.4300000000000002</v>
      </c>
      <c r="E30" s="26" t="str">
        <f t="shared" si="0"/>
        <v>{L21V8, Aux5_Brd_L2_1V8, 2.43},</v>
      </c>
    </row>
    <row r="31" spans="1:5" ht="15">
      <c r="A31" t="s">
        <v>185</v>
      </c>
      <c r="B31" s="45" t="s">
        <v>154</v>
      </c>
      <c r="C31" s="47">
        <v>4.01</v>
      </c>
      <c r="E31" s="26" t="str">
        <f t="shared" si="0"/>
        <v>{CpSw2V5, Aux8_Brd_2V5V_SW, 4.01},</v>
      </c>
    </row>
    <row r="32" spans="1:5" ht="15">
      <c r="A32" t="s">
        <v>178</v>
      </c>
      <c r="B32" s="45" t="s">
        <v>120</v>
      </c>
      <c r="C32" s="47">
        <v>2</v>
      </c>
      <c r="E32" s="26" t="str">
        <f t="shared" si="0"/>
        <v>{PlMgt1V2, Aux9_Brd_MGT_1V2, 2},</v>
      </c>
    </row>
    <row r="33" spans="1:12" ht="15">
      <c r="A33" t="s">
        <v>192</v>
      </c>
      <c r="B33" s="45" t="s">
        <v>155</v>
      </c>
      <c r="C33" s="47">
        <v>5.75</v>
      </c>
      <c r="E33" s="26" t="str">
        <f t="shared" si="0"/>
        <v>{Brd5V0, Aux10_Brd_5V0, 5.75},</v>
      </c>
      <c r="L33" t="s">
        <v>323</v>
      </c>
    </row>
    <row r="34" spans="1:12" ht="15">
      <c r="A34" t="s">
        <v>179</v>
      </c>
      <c r="B34" s="45" t="s">
        <v>121</v>
      </c>
      <c r="C34" s="47">
        <v>2.4300000000000002</v>
      </c>
      <c r="E34" s="26" t="str">
        <f t="shared" si="0"/>
        <v>{PlMgt1V8, Aux11_Brd_MGT1V8, 2.43},</v>
      </c>
      <c r="L34" t="s">
        <v>324</v>
      </c>
    </row>
    <row r="35" spans="1:12" ht="15">
      <c r="A35" t="s">
        <v>236</v>
      </c>
      <c r="B35" s="45" t="s">
        <v>156</v>
      </c>
      <c r="C35" s="47">
        <v>4.01</v>
      </c>
      <c r="E35" s="26" t="str">
        <f t="shared" si="0"/>
        <v>{L22V5, Aux12_Brd_L2_2V5, 4.01},</v>
      </c>
      <c r="L35" t="s">
        <v>325</v>
      </c>
    </row>
    <row r="36" spans="1:12" ht="15">
      <c r="A36" t="s">
        <v>238</v>
      </c>
      <c r="B36" s="45" t="s">
        <v>157</v>
      </c>
      <c r="C36" s="47">
        <v>2.4300000000000002</v>
      </c>
      <c r="E36" s="26" t="str">
        <f>("{"&amp;A36&amp;", "&amp;B36&amp;", "&amp;C36&amp;"}")</f>
        <v>{L2Pll1V0, Aux13_Brd_L2_PLL_VDD, 2.43}</v>
      </c>
    </row>
    <row r="40" spans="1:12">
      <c r="A40" t="s">
        <v>250</v>
      </c>
      <c r="E40" s="161" t="s">
        <v>271</v>
      </c>
      <c r="F40" s="161"/>
      <c r="G40" s="161"/>
      <c r="H40" s="161"/>
      <c r="I40" s="161"/>
    </row>
    <row r="41" spans="1:12">
      <c r="A41" t="s">
        <v>323</v>
      </c>
      <c r="B41" t="s">
        <v>210</v>
      </c>
      <c r="C41" s="48">
        <v>1</v>
      </c>
      <c r="E41" s="26" t="str">
        <f>("{"&amp;A41&amp;", "&amp;B41&amp;", "&amp;C41&amp;"}"&amp;",")</f>
        <v>{CjXadcDie_T, CJ_Die_Temperature, 1},</v>
      </c>
    </row>
    <row r="42" spans="1:12">
      <c r="A42" t="s">
        <v>324</v>
      </c>
      <c r="B42" t="s">
        <v>281</v>
      </c>
      <c r="C42" s="50">
        <v>1</v>
      </c>
      <c r="E42" s="26" t="str">
        <f>("{"&amp;A42&amp;", "&amp;B42&amp;", "&amp;C42&amp;"}"&amp;",")</f>
        <v>{CjAdcMinDie_T, CJ_Min_Die_Temperature, 1},</v>
      </c>
    </row>
    <row r="43" spans="1:12">
      <c r="A43" t="s">
        <v>325</v>
      </c>
      <c r="B43" t="s">
        <v>282</v>
      </c>
      <c r="C43" s="50">
        <v>1</v>
      </c>
      <c r="E43" s="26" t="str">
        <f>("{"&amp;A43&amp;", "&amp;B43&amp;", "&amp;C43&amp;"}"&amp;",")</f>
        <v>{CjAdcMaxDie_T, CJ_Max_Die_Temperature, 1},</v>
      </c>
    </row>
    <row r="44" spans="1:12">
      <c r="A44" t="s">
        <v>195</v>
      </c>
      <c r="B44" t="s">
        <v>211</v>
      </c>
      <c r="C44" s="48">
        <v>3</v>
      </c>
      <c r="E44" s="26" t="str">
        <f t="shared" ref="E44:E67" si="1">("{"&amp;A44&amp;", "&amp;B44&amp;", "&amp;C44&amp;"}"&amp;",")</f>
        <v>{CjVccint0V95, CJ_Vccint_V95, 3},</v>
      </c>
    </row>
    <row r="45" spans="1:12">
      <c r="A45" t="s">
        <v>196</v>
      </c>
      <c r="B45" t="s">
        <v>283</v>
      </c>
      <c r="C45" s="48">
        <v>3</v>
      </c>
      <c r="E45" s="26" t="str">
        <f t="shared" si="1"/>
        <v>{CjVintMin0V95, CJ_Min_Vccint_V95, 3},</v>
      </c>
    </row>
    <row r="46" spans="1:12">
      <c r="A46" t="s">
        <v>197</v>
      </c>
      <c r="B46" t="s">
        <v>284</v>
      </c>
      <c r="C46" s="48">
        <v>3</v>
      </c>
      <c r="E46" s="26" t="str">
        <f t="shared" si="1"/>
        <v>{CjVintMax0V95, CJ_Max_Vccint_V95, 3},</v>
      </c>
    </row>
    <row r="47" spans="1:12">
      <c r="A47" t="s">
        <v>205</v>
      </c>
      <c r="B47" t="s">
        <v>212</v>
      </c>
      <c r="C47" s="48">
        <v>3</v>
      </c>
      <c r="E47" s="26" t="str">
        <f t="shared" si="1"/>
        <v>{CjVccaux1V8, CJ_Vccaux_1V8, 3},</v>
      </c>
    </row>
    <row r="48" spans="1:12">
      <c r="A48" t="s">
        <v>206</v>
      </c>
      <c r="B48" t="s">
        <v>285</v>
      </c>
      <c r="C48" s="48">
        <v>3</v>
      </c>
      <c r="E48" s="26" t="str">
        <f t="shared" si="1"/>
        <v>{CjVauxMin1V8, CJ_Min_Vccaux_1V8, 3},</v>
      </c>
    </row>
    <row r="49" spans="1:5">
      <c r="A49" t="s">
        <v>207</v>
      </c>
      <c r="B49" t="s">
        <v>286</v>
      </c>
      <c r="C49" s="48">
        <v>3</v>
      </c>
      <c r="D49" t="s">
        <v>147</v>
      </c>
      <c r="E49" s="26" t="str">
        <f t="shared" si="1"/>
        <v>{CjVauxMax1V8, CJ_Max_Vccaux_1V8, 3},</v>
      </c>
    </row>
    <row r="50" spans="1:5">
      <c r="A50" t="s">
        <v>202</v>
      </c>
      <c r="B50" t="s">
        <v>213</v>
      </c>
      <c r="C50" s="48">
        <v>3</v>
      </c>
      <c r="D50" t="s">
        <v>147</v>
      </c>
      <c r="E50" s="26" t="str">
        <f t="shared" si="1"/>
        <v>{CjVbram0V95, CJ_Vbram_V95, 3},</v>
      </c>
    </row>
    <row r="51" spans="1:5">
      <c r="A51" t="s">
        <v>203</v>
      </c>
      <c r="B51" t="s">
        <v>287</v>
      </c>
      <c r="C51" s="48">
        <v>3</v>
      </c>
      <c r="D51" t="s">
        <v>147</v>
      </c>
      <c r="E51" s="26" t="str">
        <f t="shared" si="1"/>
        <v>{CjVramMin0V95, CJ_Min_Vbram_V95, 3},</v>
      </c>
    </row>
    <row r="52" spans="1:5">
      <c r="A52" t="s">
        <v>204</v>
      </c>
      <c r="B52" t="s">
        <v>288</v>
      </c>
      <c r="C52" s="48">
        <v>3</v>
      </c>
      <c r="D52" t="s">
        <v>147</v>
      </c>
      <c r="E52" s="26" t="str">
        <f t="shared" si="1"/>
        <v>{CjVramMax0V95, CJ_Max_Vbram_V95, 3},</v>
      </c>
    </row>
    <row r="53" spans="1:5">
      <c r="A53" t="s">
        <v>193</v>
      </c>
      <c r="B53" t="s">
        <v>214</v>
      </c>
      <c r="C53" s="48">
        <v>21</v>
      </c>
      <c r="E53" s="26" t="str">
        <f t="shared" si="1"/>
        <v>{Brd12V0, CJ_SYSMON_ADCIN_0_12V0, 21},</v>
      </c>
    </row>
    <row r="54" spans="1:5">
      <c r="A54" t="s">
        <v>239</v>
      </c>
      <c r="B54" t="s">
        <v>215</v>
      </c>
      <c r="C54" s="48">
        <v>2</v>
      </c>
      <c r="D54" t="s">
        <v>147</v>
      </c>
      <c r="E54" s="26" t="str">
        <f t="shared" si="1"/>
        <v>{L2Vdd0V95, CJ_SYSMON_ADCIN_1_L2_VDD_0V9, 2},</v>
      </c>
    </row>
    <row r="55" spans="1:5">
      <c r="A55" t="s">
        <v>247</v>
      </c>
      <c r="B55" t="s">
        <v>216</v>
      </c>
      <c r="C55" s="48">
        <v>2</v>
      </c>
      <c r="D55" t="s">
        <v>147</v>
      </c>
      <c r="E55" s="26" t="str">
        <f t="shared" si="1"/>
        <v>{L2Avdd1V0, CJ_SYSMON_ADCIN_2_L2_AVDD_1V0, 2},</v>
      </c>
    </row>
    <row r="56" spans="1:5">
      <c r="A56" t="s">
        <v>191</v>
      </c>
      <c r="B56" t="s">
        <v>217</v>
      </c>
      <c r="C56" s="48">
        <v>5.75</v>
      </c>
      <c r="E56" s="26" t="str">
        <f t="shared" si="1"/>
        <v>{Cu3V3, CJ_SYSMON_ADCIN_3_CU_3V3, 5.75},</v>
      </c>
    </row>
    <row r="57" spans="1:5">
      <c r="A57" t="s">
        <v>183</v>
      </c>
      <c r="B57" t="s">
        <v>218</v>
      </c>
      <c r="C57" s="48">
        <v>4</v>
      </c>
      <c r="D57" t="s">
        <v>147</v>
      </c>
      <c r="E57" s="26" t="str">
        <f t="shared" si="1"/>
        <v>{Nco1V8, CJ_SYSMON_ADCIN_4_NCO_1V8, 4},</v>
      </c>
    </row>
    <row r="58" spans="1:5">
      <c r="A58" t="s">
        <v>235</v>
      </c>
      <c r="B58" t="s">
        <v>219</v>
      </c>
      <c r="C58" s="48">
        <v>4</v>
      </c>
      <c r="D58" t="s">
        <v>147</v>
      </c>
      <c r="E58" s="26" t="str">
        <f t="shared" si="1"/>
        <v>{CjMgt1V8, CJ_SYSMON_ADCIN_5_DA_MGT_1V8, 4},</v>
      </c>
    </row>
    <row r="59" spans="1:5">
      <c r="A59" t="s">
        <v>232</v>
      </c>
      <c r="B59" t="s">
        <v>220</v>
      </c>
      <c r="C59" s="48">
        <v>2</v>
      </c>
      <c r="D59" t="s">
        <v>147</v>
      </c>
      <c r="E59" s="26" t="str">
        <f t="shared" si="1"/>
        <v>{CjMgt1V2, CJ_SYSMON_ADCIN_6_DA_MGT_1V2, 2},</v>
      </c>
    </row>
    <row r="60" spans="1:5">
      <c r="A60" t="s">
        <v>208</v>
      </c>
      <c r="B60" t="s">
        <v>221</v>
      </c>
      <c r="C60" s="48">
        <v>2</v>
      </c>
      <c r="D60" t="s">
        <v>147</v>
      </c>
      <c r="E60" s="26" t="str">
        <f t="shared" si="1"/>
        <v>{CjMgt1V0, CJ_SYSMON_ADCIN_7_DA_MGT_1V0, 2},</v>
      </c>
    </row>
    <row r="61" spans="1:5">
      <c r="A61" t="s">
        <v>175</v>
      </c>
      <c r="B61" t="s">
        <v>222</v>
      </c>
      <c r="C61" s="48">
        <v>1.21</v>
      </c>
      <c r="E61" s="26" t="str">
        <f t="shared" si="1"/>
        <v>{PsDdr30V675, CJ_SYSMON_ADCIN_8_PS_DDR3_VTT_V675, 1.21},</v>
      </c>
    </row>
    <row r="62" spans="1:5">
      <c r="A62" t="s">
        <v>176</v>
      </c>
      <c r="B62" t="s">
        <v>223</v>
      </c>
      <c r="C62" s="48">
        <v>1.21</v>
      </c>
      <c r="E62" s="26" t="str">
        <f t="shared" si="1"/>
        <v>{PlDdr30V675, CJ_SYSMON_ADCIN_9_PL_DDR3_VTT_V675, 1.21},</v>
      </c>
    </row>
    <row r="63" spans="1:5">
      <c r="A63" t="s">
        <v>194</v>
      </c>
      <c r="B63" t="s">
        <v>224</v>
      </c>
      <c r="C63" s="48">
        <v>21</v>
      </c>
      <c r="D63" t="s">
        <v>132</v>
      </c>
      <c r="E63" s="26" t="str">
        <f t="shared" si="1"/>
        <v>{Dspy12V0, CJ_SYSMON_ADCIN_10_DSPY_12V0, 21},</v>
      </c>
    </row>
    <row r="64" spans="1:5">
      <c r="A64" t="s">
        <v>190</v>
      </c>
      <c r="B64" t="s">
        <v>225</v>
      </c>
      <c r="C64" s="48">
        <v>5.75</v>
      </c>
      <c r="E64" s="26" t="str">
        <f t="shared" si="1"/>
        <v>{CjSw3V3, CJ_SYSMON_ADCIN_11_DA_3V3, 5.75},</v>
      </c>
    </row>
    <row r="65" spans="1:5">
      <c r="A65" t="s">
        <v>186</v>
      </c>
      <c r="B65" t="s">
        <v>226</v>
      </c>
      <c r="C65" s="48">
        <v>5.75</v>
      </c>
      <c r="E65" s="26" t="str">
        <f t="shared" si="1"/>
        <v>{Brd3V3, CJ_SYSMON_ADCIN_12_3V3, 5.75},</v>
      </c>
    </row>
    <row r="66" spans="1:5">
      <c r="A66" t="s">
        <v>252</v>
      </c>
      <c r="B66" t="s">
        <v>227</v>
      </c>
      <c r="C66" s="48">
        <v>4</v>
      </c>
      <c r="D66" t="s">
        <v>147</v>
      </c>
      <c r="E66" s="26" t="str">
        <f t="shared" si="1"/>
        <v>{CpBrd1V8, CJ_SYSMON_ADCIN_13_CP_1V8_SW, 4},</v>
      </c>
    </row>
    <row r="67" spans="1:5">
      <c r="A67" t="s">
        <v>180</v>
      </c>
      <c r="B67" t="s">
        <v>228</v>
      </c>
      <c r="C67" s="48">
        <v>3.1</v>
      </c>
      <c r="D67" t="s">
        <v>158</v>
      </c>
      <c r="E67" s="26" t="str">
        <f t="shared" si="1"/>
        <v>{CpBrd1V0, CJ_SYSMON_ADCIN_14_CP_1V0, 3.1},</v>
      </c>
    </row>
    <row r="68" spans="1:5">
      <c r="A68" t="s">
        <v>174</v>
      </c>
      <c r="B68" t="s">
        <v>229</v>
      </c>
      <c r="C68" s="48">
        <v>3.1</v>
      </c>
      <c r="D68" t="s">
        <v>158</v>
      </c>
      <c r="E68" s="26" t="str">
        <f>("{"&amp;A68&amp;", "&amp;B68&amp;", "&amp;C68&amp;"}")</f>
        <v>{BrdDdr31V35, CJ_SYSMON_ADCIN_15_DDR3_1V35, 3.1}</v>
      </c>
    </row>
    <row r="70" spans="1:5">
      <c r="A70" t="s">
        <v>187</v>
      </c>
    </row>
    <row r="71" spans="1:5">
      <c r="A71" t="s">
        <v>188</v>
      </c>
    </row>
    <row r="72" spans="1:5">
      <c r="A72" t="s">
        <v>198</v>
      </c>
    </row>
    <row r="73" spans="1:5">
      <c r="A73" t="s">
        <v>199</v>
      </c>
    </row>
    <row r="74" spans="1:5">
      <c r="A74" t="s">
        <v>200</v>
      </c>
    </row>
    <row r="75" spans="1:5">
      <c r="A75" t="s">
        <v>201</v>
      </c>
    </row>
    <row r="76" spans="1:5">
      <c r="A76" t="s">
        <v>230</v>
      </c>
    </row>
    <row r="77" spans="1:5">
      <c r="A77" t="s">
        <v>231</v>
      </c>
    </row>
    <row r="78" spans="1:5">
      <c r="A78" t="s">
        <v>233</v>
      </c>
    </row>
    <row r="79" spans="1:5">
      <c r="A79" t="s">
        <v>234</v>
      </c>
    </row>
    <row r="80" spans="1:5">
      <c r="A80" t="s">
        <v>240</v>
      </c>
    </row>
    <row r="81" spans="1:1">
      <c r="A81" t="s">
        <v>241</v>
      </c>
    </row>
    <row r="82" spans="1:1">
      <c r="A82" t="s">
        <v>242</v>
      </c>
    </row>
    <row r="83" spans="1:1">
      <c r="A83" t="s">
        <v>243</v>
      </c>
    </row>
    <row r="84" spans="1:1">
      <c r="A84" t="s">
        <v>244</v>
      </c>
    </row>
    <row r="85" spans="1:1">
      <c r="A85" t="s">
        <v>245</v>
      </c>
    </row>
    <row r="86" spans="1:1">
      <c r="A86" t="s">
        <v>246</v>
      </c>
    </row>
    <row r="87" spans="1:1">
      <c r="A87" t="s">
        <v>248</v>
      </c>
    </row>
    <row r="88" spans="1:1">
      <c r="A88" t="s">
        <v>249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U114"/>
  <sheetViews>
    <sheetView topLeftCell="A53" zoomScaleNormal="100" workbookViewId="0">
      <selection activeCell="J110" sqref="J110"/>
    </sheetView>
  </sheetViews>
  <sheetFormatPr defaultRowHeight="14.4"/>
  <cols>
    <col min="2" max="2" width="14.33203125" customWidth="1"/>
    <col min="3" max="3" width="10.6640625" customWidth="1"/>
    <col min="4" max="4" width="7.44140625" customWidth="1"/>
  </cols>
  <sheetData>
    <row r="1" spans="2:20" hidden="1">
      <c r="B1" s="74" t="s">
        <v>329</v>
      </c>
      <c r="D1">
        <v>0</v>
      </c>
      <c r="E1" t="s">
        <v>389</v>
      </c>
      <c r="R1" t="s">
        <v>351</v>
      </c>
    </row>
    <row r="2" spans="2:20" hidden="1">
      <c r="B2" s="74" t="s">
        <v>330</v>
      </c>
      <c r="E2">
        <v>0</v>
      </c>
      <c r="F2" t="s">
        <v>366</v>
      </c>
      <c r="I2" t="s">
        <v>367</v>
      </c>
      <c r="R2" t="s">
        <v>352</v>
      </c>
    </row>
    <row r="3" spans="2:20" hidden="1">
      <c r="B3" s="74" t="s">
        <v>331</v>
      </c>
      <c r="E3">
        <v>1</v>
      </c>
      <c r="F3" t="s">
        <v>368</v>
      </c>
      <c r="I3" t="s">
        <v>369</v>
      </c>
    </row>
    <row r="4" spans="2:20" hidden="1">
      <c r="B4" s="74" t="s">
        <v>332</v>
      </c>
      <c r="E4">
        <v>2</v>
      </c>
      <c r="F4" t="s">
        <v>370</v>
      </c>
      <c r="G4" t="s">
        <v>371</v>
      </c>
      <c r="R4" t="s">
        <v>353</v>
      </c>
    </row>
    <row r="5" spans="2:20" hidden="1">
      <c r="B5" s="74" t="s">
        <v>333</v>
      </c>
      <c r="G5" t="s">
        <v>349</v>
      </c>
    </row>
    <row r="6" spans="2:20" hidden="1">
      <c r="B6" s="74" t="s">
        <v>334</v>
      </c>
      <c r="G6" t="s">
        <v>350</v>
      </c>
      <c r="R6" t="s">
        <v>354</v>
      </c>
    </row>
    <row r="7" spans="2:20" hidden="1">
      <c r="B7" s="74" t="s">
        <v>335</v>
      </c>
      <c r="R7" t="s">
        <v>355</v>
      </c>
    </row>
    <row r="8" spans="2:20" hidden="1">
      <c r="B8" s="74" t="s">
        <v>336</v>
      </c>
      <c r="D8">
        <v>1</v>
      </c>
      <c r="E8" t="s">
        <v>390</v>
      </c>
      <c r="S8" t="s">
        <v>356</v>
      </c>
    </row>
    <row r="9" spans="2:20" hidden="1">
      <c r="B9" s="74" t="s">
        <v>338</v>
      </c>
      <c r="F9" t="s">
        <v>366</v>
      </c>
      <c r="I9" t="s">
        <v>374</v>
      </c>
      <c r="R9" t="s">
        <v>357</v>
      </c>
      <c r="T9" t="s">
        <v>358</v>
      </c>
    </row>
    <row r="10" spans="2:20" hidden="1">
      <c r="B10" s="74" t="s">
        <v>339</v>
      </c>
      <c r="F10" t="s">
        <v>368</v>
      </c>
      <c r="I10" t="s">
        <v>375</v>
      </c>
      <c r="R10" t="s">
        <v>359</v>
      </c>
    </row>
    <row r="11" spans="2:20" hidden="1">
      <c r="B11" s="74" t="s">
        <v>340</v>
      </c>
      <c r="F11" t="s">
        <v>376</v>
      </c>
      <c r="G11" t="s">
        <v>377</v>
      </c>
      <c r="R11" t="s">
        <v>360</v>
      </c>
      <c r="S11" t="s">
        <v>361</v>
      </c>
    </row>
    <row r="12" spans="2:20" hidden="1">
      <c r="B12" s="74" t="s">
        <v>341</v>
      </c>
      <c r="G12" t="s">
        <v>333</v>
      </c>
      <c r="R12" t="s">
        <v>362</v>
      </c>
    </row>
    <row r="13" spans="2:20" hidden="1">
      <c r="B13" s="74" t="s">
        <v>342</v>
      </c>
      <c r="G13" t="s">
        <v>334</v>
      </c>
      <c r="R13" t="s">
        <v>363</v>
      </c>
    </row>
    <row r="14" spans="2:20" hidden="1">
      <c r="B14" s="74" t="s">
        <v>343</v>
      </c>
      <c r="G14" t="s">
        <v>335</v>
      </c>
      <c r="R14" t="s">
        <v>364</v>
      </c>
    </row>
    <row r="15" spans="2:20" hidden="1">
      <c r="B15" s="74" t="s">
        <v>344</v>
      </c>
      <c r="G15" t="s">
        <v>336</v>
      </c>
    </row>
    <row r="16" spans="2:20" hidden="1">
      <c r="B16" s="74" t="s">
        <v>345</v>
      </c>
      <c r="G16" t="s">
        <v>337</v>
      </c>
      <c r="R16" t="s">
        <v>365</v>
      </c>
    </row>
    <row r="17" spans="2:21" hidden="1">
      <c r="B17" s="74" t="s">
        <v>346</v>
      </c>
      <c r="R17" t="s">
        <v>355</v>
      </c>
    </row>
    <row r="18" spans="2:21" hidden="1">
      <c r="B18" s="74" t="s">
        <v>347</v>
      </c>
      <c r="D18">
        <v>2</v>
      </c>
      <c r="E18" t="s">
        <v>391</v>
      </c>
    </row>
    <row r="19" spans="2:21" hidden="1">
      <c r="B19" s="74" t="s">
        <v>348</v>
      </c>
      <c r="F19" t="s">
        <v>366</v>
      </c>
      <c r="I19" t="s">
        <v>367</v>
      </c>
    </row>
    <row r="20" spans="2:21" hidden="1">
      <c r="B20" s="74" t="s">
        <v>349</v>
      </c>
      <c r="F20" t="s">
        <v>368</v>
      </c>
      <c r="I20" t="s">
        <v>369</v>
      </c>
    </row>
    <row r="21" spans="2:21" hidden="1">
      <c r="B21" s="74" t="s">
        <v>350</v>
      </c>
      <c r="F21" t="s">
        <v>370</v>
      </c>
      <c r="G21" t="s">
        <v>371</v>
      </c>
      <c r="R21" t="s">
        <v>372</v>
      </c>
    </row>
    <row r="22" spans="2:21" hidden="1">
      <c r="G22" s="75" t="s">
        <v>331</v>
      </c>
    </row>
    <row r="23" spans="2:21" hidden="1">
      <c r="G23" s="75" t="s">
        <v>332</v>
      </c>
      <c r="R23" t="s">
        <v>373</v>
      </c>
    </row>
    <row r="24" spans="2:21" hidden="1">
      <c r="R24" t="s">
        <v>355</v>
      </c>
    </row>
    <row r="25" spans="2:21" hidden="1">
      <c r="D25">
        <v>3</v>
      </c>
      <c r="E25" t="s">
        <v>392</v>
      </c>
      <c r="R25" t="s">
        <v>366</v>
      </c>
      <c r="U25" t="s">
        <v>374</v>
      </c>
    </row>
    <row r="26" spans="2:21" hidden="1">
      <c r="F26" t="s">
        <v>366</v>
      </c>
      <c r="I26" t="s">
        <v>367</v>
      </c>
      <c r="R26" t="s">
        <v>368</v>
      </c>
      <c r="U26" t="s">
        <v>375</v>
      </c>
    </row>
    <row r="27" spans="2:21" hidden="1">
      <c r="F27" t="s">
        <v>368</v>
      </c>
      <c r="I27" t="s">
        <v>369</v>
      </c>
      <c r="R27" t="s">
        <v>376</v>
      </c>
      <c r="S27" t="s">
        <v>377</v>
      </c>
    </row>
    <row r="28" spans="2:21" hidden="1">
      <c r="F28" t="s">
        <v>370</v>
      </c>
      <c r="G28" t="s">
        <v>371</v>
      </c>
      <c r="R28" t="s">
        <v>372</v>
      </c>
    </row>
    <row r="29" spans="2:21" hidden="1">
      <c r="G29" t="s">
        <v>329</v>
      </c>
    </row>
    <row r="30" spans="2:21" hidden="1">
      <c r="G30" t="s">
        <v>330</v>
      </c>
    </row>
    <row r="31" spans="2:21" hidden="1">
      <c r="R31" t="s">
        <v>354</v>
      </c>
    </row>
    <row r="32" spans="2:21" hidden="1">
      <c r="D32">
        <v>4</v>
      </c>
      <c r="E32" t="s">
        <v>393</v>
      </c>
      <c r="R32" t="s">
        <v>355</v>
      </c>
    </row>
    <row r="33" spans="4:20" hidden="1">
      <c r="F33" t="s">
        <v>366</v>
      </c>
      <c r="I33" t="s">
        <v>374</v>
      </c>
      <c r="R33" t="s">
        <v>378</v>
      </c>
      <c r="S33" t="s">
        <v>379</v>
      </c>
      <c r="T33" t="s">
        <v>380</v>
      </c>
    </row>
    <row r="34" spans="4:20" hidden="1">
      <c r="F34" t="s">
        <v>368</v>
      </c>
      <c r="I34" t="s">
        <v>375</v>
      </c>
      <c r="R34" t="s">
        <v>381</v>
      </c>
      <c r="S34" t="s">
        <v>382</v>
      </c>
    </row>
    <row r="35" spans="4:20" hidden="1">
      <c r="F35" t="s">
        <v>376</v>
      </c>
      <c r="G35" t="s">
        <v>377</v>
      </c>
      <c r="R35" t="s">
        <v>381</v>
      </c>
      <c r="S35" t="s">
        <v>383</v>
      </c>
    </row>
    <row r="36" spans="4:20" hidden="1">
      <c r="G36" t="s">
        <v>340</v>
      </c>
      <c r="R36" t="s">
        <v>384</v>
      </c>
      <c r="S36" t="s">
        <v>385</v>
      </c>
    </row>
    <row r="37" spans="4:20" hidden="1">
      <c r="G37" t="s">
        <v>341</v>
      </c>
      <c r="R37" t="s">
        <v>384</v>
      </c>
      <c r="S37" t="s">
        <v>386</v>
      </c>
    </row>
    <row r="38" spans="4:20" hidden="1">
      <c r="G38" t="s">
        <v>342</v>
      </c>
      <c r="R38" t="s">
        <v>387</v>
      </c>
    </row>
    <row r="39" spans="4:20" hidden="1">
      <c r="G39" t="s">
        <v>343</v>
      </c>
    </row>
    <row r="40" spans="4:20" hidden="1">
      <c r="G40" t="s">
        <v>344</v>
      </c>
    </row>
    <row r="41" spans="4:20" hidden="1">
      <c r="G41" t="s">
        <v>345</v>
      </c>
      <c r="R41" t="s">
        <v>388</v>
      </c>
    </row>
    <row r="42" spans="4:20" hidden="1">
      <c r="G42" t="s">
        <v>346</v>
      </c>
      <c r="R42" t="s">
        <v>355</v>
      </c>
    </row>
    <row r="43" spans="4:20" hidden="1">
      <c r="G43" t="s">
        <v>347</v>
      </c>
      <c r="R43" t="s">
        <v>389</v>
      </c>
    </row>
    <row r="44" spans="4:20" hidden="1">
      <c r="R44" t="s">
        <v>390</v>
      </c>
    </row>
    <row r="45" spans="4:20" hidden="1">
      <c r="R45" t="s">
        <v>391</v>
      </c>
    </row>
    <row r="46" spans="4:20" hidden="1">
      <c r="D46">
        <v>5</v>
      </c>
      <c r="E46" t="s">
        <v>394</v>
      </c>
      <c r="R46" t="s">
        <v>392</v>
      </c>
    </row>
    <row r="47" spans="4:20" hidden="1">
      <c r="F47" t="s">
        <v>366</v>
      </c>
      <c r="I47" t="s">
        <v>367</v>
      </c>
      <c r="R47" t="s">
        <v>393</v>
      </c>
    </row>
    <row r="48" spans="4:20" hidden="1">
      <c r="F48" t="s">
        <v>368</v>
      </c>
      <c r="I48" t="s">
        <v>369</v>
      </c>
      <c r="R48" t="s">
        <v>394</v>
      </c>
    </row>
    <row r="49" spans="2:18" hidden="1">
      <c r="F49" t="s">
        <v>370</v>
      </c>
      <c r="G49" t="s">
        <v>371</v>
      </c>
      <c r="R49" t="s">
        <v>372</v>
      </c>
    </row>
    <row r="50" spans="2:18" hidden="1">
      <c r="G50" t="s">
        <v>338</v>
      </c>
    </row>
    <row r="51" spans="2:18" hidden="1">
      <c r="G51" t="s">
        <v>339</v>
      </c>
    </row>
    <row r="52" spans="2:18" hidden="1"/>
    <row r="53" spans="2:18">
      <c r="B53" s="26" t="s">
        <v>397</v>
      </c>
      <c r="C53" s="26" t="s">
        <v>7</v>
      </c>
      <c r="D53" s="26" t="s">
        <v>398</v>
      </c>
      <c r="E53" s="26" t="s">
        <v>400</v>
      </c>
      <c r="F53" s="26" t="s">
        <v>399</v>
      </c>
    </row>
    <row r="55" spans="2:18" ht="15" thickBot="1">
      <c r="F55" s="72"/>
    </row>
    <row r="56" spans="2:18" hidden="1">
      <c r="E56" t="s">
        <v>395</v>
      </c>
    </row>
    <row r="57" spans="2:18" hidden="1">
      <c r="F57" s="72">
        <v>5</v>
      </c>
      <c r="G57" s="72">
        <v>0</v>
      </c>
      <c r="I57" t="s">
        <v>338</v>
      </c>
    </row>
    <row r="58" spans="2:18" hidden="1">
      <c r="F58" s="72">
        <v>5</v>
      </c>
      <c r="G58" s="72">
        <v>1</v>
      </c>
      <c r="I58" t="s">
        <v>339</v>
      </c>
    </row>
    <row r="59" spans="2:18" hidden="1">
      <c r="F59" s="72">
        <v>3</v>
      </c>
      <c r="G59" s="72">
        <v>0</v>
      </c>
      <c r="I59" t="s">
        <v>329</v>
      </c>
    </row>
    <row r="60" spans="2:18" hidden="1">
      <c r="F60" s="72">
        <v>3</v>
      </c>
      <c r="G60" s="72">
        <v>1</v>
      </c>
      <c r="I60" t="s">
        <v>330</v>
      </c>
    </row>
    <row r="61" spans="2:18" hidden="1">
      <c r="F61" s="72">
        <v>2</v>
      </c>
      <c r="G61" s="72">
        <v>0</v>
      </c>
      <c r="I61" s="75" t="s">
        <v>331</v>
      </c>
    </row>
    <row r="62" spans="2:18" hidden="1">
      <c r="F62" s="72">
        <v>2</v>
      </c>
      <c r="G62" s="72">
        <v>1</v>
      </c>
      <c r="I62" s="75" t="s">
        <v>332</v>
      </c>
    </row>
    <row r="63" spans="2:18" hidden="1">
      <c r="F63" s="72">
        <v>0</v>
      </c>
      <c r="G63" s="72">
        <v>0</v>
      </c>
      <c r="I63" t="s">
        <v>349</v>
      </c>
    </row>
    <row r="64" spans="2:18" hidden="1">
      <c r="F64" s="72">
        <v>0</v>
      </c>
      <c r="G64" s="72">
        <v>1</v>
      </c>
      <c r="I64" t="s">
        <v>350</v>
      </c>
    </row>
    <row r="65" spans="5:9" hidden="1">
      <c r="F65" s="72"/>
      <c r="G65" s="72"/>
    </row>
    <row r="66" spans="5:9" hidden="1">
      <c r="F66" s="72"/>
      <c r="G66" s="72"/>
    </row>
    <row r="67" spans="5:9" hidden="1">
      <c r="E67" t="s">
        <v>396</v>
      </c>
      <c r="F67" s="72"/>
      <c r="G67" s="72"/>
    </row>
    <row r="68" spans="5:9" hidden="1">
      <c r="F68" s="72">
        <v>1</v>
      </c>
      <c r="G68" s="72">
        <v>0</v>
      </c>
      <c r="I68" t="s">
        <v>333</v>
      </c>
    </row>
    <row r="69" spans="5:9" hidden="1">
      <c r="F69" s="72">
        <v>1</v>
      </c>
      <c r="G69" s="72">
        <v>2</v>
      </c>
      <c r="I69" t="s">
        <v>334</v>
      </c>
    </row>
    <row r="70" spans="5:9" hidden="1">
      <c r="F70" s="72">
        <v>1</v>
      </c>
      <c r="G70" s="72">
        <v>1</v>
      </c>
      <c r="H70" s="72">
        <v>0</v>
      </c>
      <c r="I70" t="s">
        <v>335</v>
      </c>
    </row>
    <row r="71" spans="5:9" hidden="1">
      <c r="F71" s="72">
        <v>1</v>
      </c>
      <c r="G71" s="72">
        <v>1</v>
      </c>
      <c r="H71" s="72">
        <v>1</v>
      </c>
      <c r="I71" t="s">
        <v>336</v>
      </c>
    </row>
    <row r="72" spans="5:9" hidden="1">
      <c r="F72" s="72">
        <v>1</v>
      </c>
      <c r="G72" s="72">
        <v>1</v>
      </c>
      <c r="I72" t="s">
        <v>337</v>
      </c>
    </row>
    <row r="73" spans="5:9" hidden="1">
      <c r="F73" s="72">
        <v>4</v>
      </c>
      <c r="G73" s="72">
        <v>1</v>
      </c>
      <c r="I73" t="s">
        <v>340</v>
      </c>
    </row>
    <row r="74" spans="5:9" hidden="1">
      <c r="F74" s="72">
        <v>4</v>
      </c>
      <c r="G74" s="72">
        <v>1</v>
      </c>
      <c r="H74" s="73">
        <v>0</v>
      </c>
      <c r="I74" t="s">
        <v>341</v>
      </c>
    </row>
    <row r="75" spans="5:9" hidden="1">
      <c r="F75" s="72">
        <v>4</v>
      </c>
      <c r="G75" s="72">
        <v>1</v>
      </c>
      <c r="H75" s="73">
        <v>1</v>
      </c>
      <c r="I75" t="s">
        <v>342</v>
      </c>
    </row>
    <row r="76" spans="5:9" hidden="1">
      <c r="F76" s="72">
        <v>4</v>
      </c>
      <c r="G76" s="72">
        <v>1</v>
      </c>
      <c r="H76" s="73">
        <v>2</v>
      </c>
      <c r="I76" t="s">
        <v>343</v>
      </c>
    </row>
    <row r="77" spans="5:9" hidden="1">
      <c r="F77" s="72">
        <v>4</v>
      </c>
      <c r="G77" s="72">
        <v>1</v>
      </c>
      <c r="H77" s="73">
        <v>3</v>
      </c>
      <c r="I77" t="s">
        <v>344</v>
      </c>
    </row>
    <row r="78" spans="5:9" hidden="1">
      <c r="F78" s="72">
        <v>4</v>
      </c>
      <c r="G78" s="72">
        <v>1</v>
      </c>
      <c r="H78" s="73">
        <v>4</v>
      </c>
      <c r="I78" t="s">
        <v>345</v>
      </c>
    </row>
    <row r="79" spans="5:9" hidden="1">
      <c r="F79" s="72">
        <v>4</v>
      </c>
      <c r="G79" s="72">
        <v>1</v>
      </c>
      <c r="H79" s="73">
        <v>5</v>
      </c>
      <c r="I79" t="s">
        <v>346</v>
      </c>
    </row>
    <row r="80" spans="5:9" hidden="1">
      <c r="F80" s="72">
        <v>4</v>
      </c>
      <c r="G80" s="72">
        <v>2</v>
      </c>
      <c r="H80" s="73">
        <v>6</v>
      </c>
      <c r="I80" t="s">
        <v>348</v>
      </c>
    </row>
    <row r="81" spans="1:15" hidden="1"/>
    <row r="82" spans="1:15">
      <c r="J82" s="30" t="s">
        <v>413</v>
      </c>
      <c r="K82" s="31"/>
      <c r="L82" s="31"/>
      <c r="M82" s="31"/>
      <c r="N82" s="31"/>
      <c r="O82" s="33"/>
    </row>
    <row r="83" spans="1:15">
      <c r="J83" s="34"/>
      <c r="K83" s="23" t="s">
        <v>301</v>
      </c>
      <c r="L83" s="23"/>
      <c r="M83" s="23"/>
      <c r="N83" s="23"/>
      <c r="O83" s="36"/>
    </row>
    <row r="84" spans="1:15">
      <c r="A84" s="26" t="s">
        <v>396</v>
      </c>
      <c r="B84" s="77" t="s">
        <v>333</v>
      </c>
      <c r="C84" t="s">
        <v>416</v>
      </c>
      <c r="D84" s="26">
        <v>0</v>
      </c>
      <c r="E84" s="26" t="s">
        <v>402</v>
      </c>
      <c r="F84" s="26" t="s">
        <v>422</v>
      </c>
      <c r="J84" s="34"/>
      <c r="K84" s="35" t="str">
        <f t="shared" ref="K84:K102" si="0">("{"&amp;B84&amp;", "&amp;C84&amp;", "&amp;D84&amp;", "&amp;E84&amp;", "&amp;F84&amp;"}"&amp;",")</f>
        <v>{PolVint1V0_V, linear16_12, 0, 0x66, 0x8B},</v>
      </c>
      <c r="L84" s="23"/>
      <c r="M84" s="23"/>
      <c r="N84" s="23"/>
      <c r="O84" s="36"/>
    </row>
    <row r="85" spans="1:15">
      <c r="A85" s="26" t="s">
        <v>396</v>
      </c>
      <c r="B85" s="77" t="s">
        <v>335</v>
      </c>
      <c r="C85" t="s">
        <v>409</v>
      </c>
      <c r="D85" s="26">
        <v>0</v>
      </c>
      <c r="E85" s="26" t="s">
        <v>402</v>
      </c>
      <c r="F85" s="26" t="s">
        <v>407</v>
      </c>
      <c r="J85" s="34"/>
      <c r="K85" s="35" t="str">
        <f t="shared" si="0"/>
        <v>{PolVint1V_I0, linear11, 0, 0x66, 0x8C},</v>
      </c>
      <c r="L85" s="23"/>
      <c r="M85" s="23"/>
      <c r="N85" s="23"/>
      <c r="O85" s="36"/>
    </row>
    <row r="86" spans="1:15">
      <c r="A86" s="26" t="s">
        <v>396</v>
      </c>
      <c r="B86" s="77" t="s">
        <v>336</v>
      </c>
      <c r="C86" t="s">
        <v>416</v>
      </c>
      <c r="D86" s="26">
        <v>1</v>
      </c>
      <c r="E86" s="26" t="s">
        <v>402</v>
      </c>
      <c r="F86" s="26" t="s">
        <v>407</v>
      </c>
      <c r="J86" s="34"/>
      <c r="K86" s="35" t="str">
        <f t="shared" si="0"/>
        <v>{PolVint1V_I1, linear16_12, 1, 0x66, 0x8C},</v>
      </c>
      <c r="L86" s="23"/>
      <c r="M86" s="23"/>
      <c r="N86" s="23"/>
      <c r="O86" s="36"/>
    </row>
    <row r="87" spans="1:15">
      <c r="A87" s="26" t="s">
        <v>396</v>
      </c>
      <c r="B87" s="77" t="s">
        <v>334</v>
      </c>
      <c r="C87" t="s">
        <v>409</v>
      </c>
      <c r="D87" s="26">
        <v>0</v>
      </c>
      <c r="E87" s="26" t="s">
        <v>402</v>
      </c>
      <c r="F87" s="26" t="s">
        <v>408</v>
      </c>
      <c r="J87" s="34"/>
      <c r="K87" s="35" t="str">
        <f t="shared" si="0"/>
        <v>{PolVint1V0_T, linear11, 0, 0x66, 0x8D},</v>
      </c>
      <c r="L87" s="23"/>
      <c r="M87" s="23"/>
      <c r="N87" s="23"/>
      <c r="O87" s="36"/>
    </row>
    <row r="88" spans="1:15">
      <c r="A88" s="26" t="s">
        <v>395</v>
      </c>
      <c r="B88" s="76" t="s">
        <v>329</v>
      </c>
      <c r="C88" t="s">
        <v>415</v>
      </c>
      <c r="D88" s="26">
        <v>0</v>
      </c>
      <c r="E88" s="26" t="s">
        <v>404</v>
      </c>
      <c r="F88" s="26" t="s">
        <v>422</v>
      </c>
      <c r="J88" s="34"/>
      <c r="K88" s="35" t="str">
        <f t="shared" si="0"/>
        <v>{PolMgt1V0_V, linear16_9, 0, 0x10, 0x8B},</v>
      </c>
      <c r="L88" s="23"/>
      <c r="M88" s="23"/>
      <c r="N88" s="23"/>
      <c r="O88" s="36"/>
    </row>
    <row r="89" spans="1:15">
      <c r="A89" s="26" t="s">
        <v>395</v>
      </c>
      <c r="B89" s="76" t="s">
        <v>330</v>
      </c>
      <c r="C89" t="s">
        <v>409</v>
      </c>
      <c r="D89" s="26">
        <v>0</v>
      </c>
      <c r="E89" s="26" t="s">
        <v>404</v>
      </c>
      <c r="F89" s="26" t="s">
        <v>407</v>
      </c>
      <c r="J89" s="34"/>
      <c r="K89" s="35" t="str">
        <f t="shared" si="0"/>
        <v>{PolMgt1V0_I, linear11, 0, 0x10, 0x8C},</v>
      </c>
      <c r="L89" s="23"/>
      <c r="M89" s="23"/>
      <c r="N89" s="23"/>
      <c r="O89" s="36"/>
    </row>
    <row r="90" spans="1:15">
      <c r="A90" s="26" t="s">
        <v>395</v>
      </c>
      <c r="B90" s="77" t="s">
        <v>331</v>
      </c>
      <c r="C90" t="s">
        <v>415</v>
      </c>
      <c r="D90" s="26">
        <v>0</v>
      </c>
      <c r="E90" s="26" t="s">
        <v>403</v>
      </c>
      <c r="F90" s="26" t="s">
        <v>422</v>
      </c>
      <c r="J90" s="34"/>
      <c r="K90" s="35" t="str">
        <f t="shared" si="0"/>
        <v>{PolMgt1V2_V, linear16_9, 0, 0x02, 0x8B},</v>
      </c>
      <c r="L90" s="23"/>
      <c r="M90" s="23"/>
      <c r="N90" s="23"/>
      <c r="O90" s="36"/>
    </row>
    <row r="91" spans="1:15">
      <c r="A91" s="26" t="s">
        <v>395</v>
      </c>
      <c r="B91" s="77" t="s">
        <v>332</v>
      </c>
      <c r="C91" t="s">
        <v>409</v>
      </c>
      <c r="D91" s="26">
        <v>0</v>
      </c>
      <c r="E91" s="26" t="s">
        <v>403</v>
      </c>
      <c r="F91" s="26" t="s">
        <v>407</v>
      </c>
      <c r="J91" s="34"/>
      <c r="K91" s="35" t="str">
        <f t="shared" si="0"/>
        <v>{PolMgt1V2_I, linear11, 0, 0x02, 0x8C},</v>
      </c>
      <c r="L91" s="23"/>
      <c r="M91" s="23"/>
      <c r="N91" s="23"/>
      <c r="O91" s="36"/>
    </row>
    <row r="92" spans="1:15">
      <c r="A92" s="26" t="s">
        <v>395</v>
      </c>
      <c r="B92" s="76" t="s">
        <v>338</v>
      </c>
      <c r="C92" t="s">
        <v>415</v>
      </c>
      <c r="D92" s="26">
        <v>0</v>
      </c>
      <c r="E92" s="26" t="s">
        <v>405</v>
      </c>
      <c r="F92" s="26" t="s">
        <v>422</v>
      </c>
      <c r="J92" s="34"/>
      <c r="K92" s="35" t="str">
        <f t="shared" si="0"/>
        <v>{PolL2Avdd_V, linear16_9, 0, 0x18, 0x8B},</v>
      </c>
      <c r="L92" s="23"/>
      <c r="M92" s="23"/>
      <c r="N92" s="23"/>
      <c r="O92" s="36"/>
    </row>
    <row r="93" spans="1:15">
      <c r="A93" s="26" t="s">
        <v>395</v>
      </c>
      <c r="B93" s="76" t="s">
        <v>339</v>
      </c>
      <c r="C93" t="s">
        <v>409</v>
      </c>
      <c r="D93" s="26">
        <v>0</v>
      </c>
      <c r="E93" s="26" t="s">
        <v>405</v>
      </c>
      <c r="F93" s="26" t="s">
        <v>407</v>
      </c>
      <c r="J93" s="34"/>
      <c r="K93" s="35" t="str">
        <f t="shared" si="0"/>
        <v>{PolL2Avdd_I, linear11, 0, 0x18, 0x8C},</v>
      </c>
      <c r="L93" s="23"/>
      <c r="M93" s="23"/>
      <c r="N93" s="23"/>
      <c r="O93" s="36"/>
    </row>
    <row r="94" spans="1:15">
      <c r="A94" s="26" t="s">
        <v>396</v>
      </c>
      <c r="B94" s="77" t="s">
        <v>340</v>
      </c>
      <c r="C94" t="s">
        <v>416</v>
      </c>
      <c r="D94" s="26">
        <v>0</v>
      </c>
      <c r="E94" s="26" t="s">
        <v>406</v>
      </c>
      <c r="F94" s="26" t="s">
        <v>422</v>
      </c>
      <c r="J94" s="34"/>
      <c r="K94" s="35" t="str">
        <f t="shared" si="0"/>
        <v>{PolL2Vdd_V, linear16_12, 0, 0x68, 0x8B},</v>
      </c>
      <c r="L94" s="23"/>
      <c r="M94" s="23"/>
      <c r="N94" s="23"/>
      <c r="O94" s="36"/>
    </row>
    <row r="95" spans="1:15">
      <c r="A95" s="26" t="s">
        <v>396</v>
      </c>
      <c r="B95" s="77" t="s">
        <v>341</v>
      </c>
      <c r="C95" t="s">
        <v>409</v>
      </c>
      <c r="D95" s="26">
        <v>0</v>
      </c>
      <c r="E95" s="26" t="s">
        <v>406</v>
      </c>
      <c r="F95" s="26" t="s">
        <v>407</v>
      </c>
      <c r="J95" s="34"/>
      <c r="K95" s="35" t="str">
        <f t="shared" si="0"/>
        <v>{PolL2Vdd_I0, linear11, 0, 0x68, 0x8C},</v>
      </c>
      <c r="L95" s="23"/>
      <c r="M95" s="23"/>
      <c r="N95" s="23"/>
      <c r="O95" s="36"/>
    </row>
    <row r="96" spans="1:15">
      <c r="A96" s="26" t="s">
        <v>396</v>
      </c>
      <c r="B96" s="77" t="s">
        <v>342</v>
      </c>
      <c r="C96" t="s">
        <v>409</v>
      </c>
      <c r="D96" s="26">
        <v>1</v>
      </c>
      <c r="E96" s="26" t="s">
        <v>406</v>
      </c>
      <c r="F96" s="26" t="s">
        <v>407</v>
      </c>
      <c r="J96" s="34"/>
      <c r="K96" s="35" t="str">
        <f t="shared" si="0"/>
        <v>{PolL2Vdd_I1, linear11, 1, 0x68, 0x8C},</v>
      </c>
      <c r="L96" s="23"/>
      <c r="M96" s="23"/>
      <c r="N96" s="23"/>
      <c r="O96" s="36"/>
    </row>
    <row r="97" spans="1:15">
      <c r="A97" s="26" t="s">
        <v>396</v>
      </c>
      <c r="B97" s="77" t="s">
        <v>343</v>
      </c>
      <c r="C97" t="s">
        <v>409</v>
      </c>
      <c r="D97" s="26">
        <v>2</v>
      </c>
      <c r="E97" s="26" t="s">
        <v>406</v>
      </c>
      <c r="F97" s="26" t="s">
        <v>407</v>
      </c>
      <c r="J97" s="34"/>
      <c r="K97" s="35" t="str">
        <f t="shared" si="0"/>
        <v>{PolL2Vdd_I2, linear11, 2, 0x68, 0x8C},</v>
      </c>
      <c r="L97" s="23"/>
      <c r="M97" s="23"/>
      <c r="N97" s="23"/>
      <c r="O97" s="36"/>
    </row>
    <row r="98" spans="1:15">
      <c r="A98" s="26" t="s">
        <v>396</v>
      </c>
      <c r="B98" s="77" t="s">
        <v>344</v>
      </c>
      <c r="C98" t="s">
        <v>409</v>
      </c>
      <c r="D98" s="26">
        <v>3</v>
      </c>
      <c r="E98" s="26" t="s">
        <v>406</v>
      </c>
      <c r="F98" s="26" t="s">
        <v>407</v>
      </c>
      <c r="J98" s="34"/>
      <c r="K98" s="35" t="str">
        <f t="shared" si="0"/>
        <v>{PolL2Vdd_I3, linear11, 3, 0x68, 0x8C},</v>
      </c>
      <c r="L98" s="23"/>
      <c r="M98" s="23"/>
      <c r="N98" s="23"/>
      <c r="O98" s="36"/>
    </row>
    <row r="99" spans="1:15">
      <c r="A99" s="26" t="s">
        <v>396</v>
      </c>
      <c r="B99" s="77" t="s">
        <v>345</v>
      </c>
      <c r="C99" t="s">
        <v>409</v>
      </c>
      <c r="D99" s="26">
        <v>4</v>
      </c>
      <c r="E99" s="26" t="s">
        <v>406</v>
      </c>
      <c r="F99" s="26" t="s">
        <v>407</v>
      </c>
      <c r="J99" s="34"/>
      <c r="K99" s="35" t="str">
        <f t="shared" si="0"/>
        <v>{PolL2Vdd_I4, linear11, 4, 0x68, 0x8C},</v>
      </c>
      <c r="L99" s="23"/>
      <c r="M99" s="23"/>
      <c r="N99" s="23"/>
      <c r="O99" s="36"/>
    </row>
    <row r="100" spans="1:15">
      <c r="A100" s="26" t="s">
        <v>396</v>
      </c>
      <c r="B100" s="77" t="s">
        <v>346</v>
      </c>
      <c r="C100" t="s">
        <v>409</v>
      </c>
      <c r="D100" s="26">
        <v>5</v>
      </c>
      <c r="E100" s="26" t="s">
        <v>406</v>
      </c>
      <c r="F100" s="26" t="s">
        <v>407</v>
      </c>
      <c r="J100" s="34"/>
      <c r="K100" s="35" t="str">
        <f t="shared" si="0"/>
        <v>{PolL2Vdd_I5, linear11, 5, 0x68, 0x8C},</v>
      </c>
      <c r="L100" s="23"/>
      <c r="M100" s="23"/>
      <c r="N100" s="23"/>
      <c r="O100" s="36"/>
    </row>
    <row r="101" spans="1:15">
      <c r="A101" s="26" t="s">
        <v>396</v>
      </c>
      <c r="B101" s="77" t="s">
        <v>348</v>
      </c>
      <c r="C101" t="s">
        <v>409</v>
      </c>
      <c r="D101" s="26">
        <v>6</v>
      </c>
      <c r="E101" s="26" t="s">
        <v>406</v>
      </c>
      <c r="F101" s="26" t="s">
        <v>408</v>
      </c>
      <c r="J101" s="34"/>
      <c r="K101" s="35" t="str">
        <f t="shared" si="0"/>
        <v>{PolL2Vdd_T, linear11, 6, 0x68, 0x8D},</v>
      </c>
      <c r="L101" s="23"/>
      <c r="M101" s="23"/>
      <c r="N101" s="23"/>
      <c r="O101" s="36"/>
    </row>
    <row r="102" spans="1:15">
      <c r="A102" s="26" t="s">
        <v>395</v>
      </c>
      <c r="B102" s="76" t="s">
        <v>349</v>
      </c>
      <c r="C102" t="s">
        <v>415</v>
      </c>
      <c r="D102" s="26">
        <v>0</v>
      </c>
      <c r="E102" s="26" t="s">
        <v>401</v>
      </c>
      <c r="F102" s="26" t="s">
        <v>422</v>
      </c>
      <c r="J102" s="34"/>
      <c r="K102" s="35" t="str">
        <f t="shared" si="0"/>
        <v>{Pol3V3_V, linear16_9, 0, 0x38, 0x8B},</v>
      </c>
      <c r="L102" s="23"/>
      <c r="M102" s="23"/>
      <c r="N102" s="23"/>
      <c r="O102" s="36"/>
    </row>
    <row r="103" spans="1:15">
      <c r="A103" s="26" t="s">
        <v>395</v>
      </c>
      <c r="B103" s="76" t="s">
        <v>350</v>
      </c>
      <c r="C103" t="s">
        <v>409</v>
      </c>
      <c r="D103" s="26">
        <v>0</v>
      </c>
      <c r="E103" s="26" t="s">
        <v>401</v>
      </c>
      <c r="F103" s="26" t="s">
        <v>407</v>
      </c>
      <c r="J103" s="34"/>
      <c r="K103" s="35" t="str">
        <f>("{"&amp;B103&amp;", "&amp;C103&amp;", "&amp;D103&amp;", "&amp;E103&amp;", "&amp;F103&amp;"}")</f>
        <v>{Pol3V3_I, linear11, 0, 0x38, 0x8C}</v>
      </c>
      <c r="L103" s="23"/>
      <c r="M103" s="23"/>
      <c r="N103" s="23"/>
      <c r="O103" s="36"/>
    </row>
    <row r="104" spans="1:15" ht="15" thickBot="1">
      <c r="J104" s="54"/>
      <c r="K104" s="37" t="s">
        <v>302</v>
      </c>
      <c r="L104" s="37"/>
      <c r="M104" s="37"/>
      <c r="N104" s="37"/>
      <c r="O104" s="39"/>
    </row>
    <row r="106" spans="1:15" ht="15" thickBot="1"/>
    <row r="107" spans="1:15">
      <c r="C107" s="30" t="s">
        <v>354</v>
      </c>
      <c r="D107" s="31"/>
      <c r="E107" s="31"/>
      <c r="F107" s="31"/>
      <c r="G107" s="31"/>
      <c r="H107" s="33"/>
    </row>
    <row r="108" spans="1:15">
      <c r="C108" s="34" t="s">
        <v>355</v>
      </c>
      <c r="D108" s="23"/>
      <c r="E108" s="23"/>
      <c r="F108" s="23"/>
      <c r="G108" s="23"/>
      <c r="H108" s="36"/>
    </row>
    <row r="109" spans="1:15">
      <c r="C109" s="34"/>
      <c r="D109" s="35" t="s">
        <v>410</v>
      </c>
      <c r="E109" s="23"/>
      <c r="F109" s="23"/>
      <c r="G109" s="23"/>
      <c r="H109" s="36"/>
    </row>
    <row r="110" spans="1:15">
      <c r="C110" s="34"/>
      <c r="D110" s="23" t="s">
        <v>414</v>
      </c>
      <c r="E110" s="23"/>
      <c r="F110" s="23"/>
      <c r="G110" s="23"/>
      <c r="H110" s="36"/>
    </row>
    <row r="111" spans="1:15">
      <c r="C111" s="34"/>
      <c r="D111" s="23" t="s">
        <v>417</v>
      </c>
      <c r="E111" s="23"/>
      <c r="F111" s="23"/>
      <c r="G111" s="23"/>
      <c r="H111" s="36"/>
    </row>
    <row r="112" spans="1:15">
      <c r="C112" s="34"/>
      <c r="D112" s="23" t="s">
        <v>412</v>
      </c>
      <c r="E112" s="23"/>
      <c r="F112" s="23"/>
      <c r="G112" s="23"/>
      <c r="H112" s="36"/>
    </row>
    <row r="113" spans="3:8">
      <c r="C113" s="34"/>
      <c r="D113" s="23" t="s">
        <v>411</v>
      </c>
      <c r="E113" s="23"/>
      <c r="F113" s="23"/>
      <c r="G113" s="23"/>
      <c r="H113" s="36"/>
    </row>
    <row r="114" spans="3:8" ht="15" thickBot="1">
      <c r="C114" s="54" t="s">
        <v>387</v>
      </c>
      <c r="D114" s="37"/>
      <c r="E114" s="37"/>
      <c r="F114" s="37"/>
      <c r="G114" s="37"/>
      <c r="H114" s="3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 Cut&amp;Paste</vt:lpstr>
      <vt:lpstr>Sheet1</vt:lpstr>
      <vt:lpstr>Scr1</vt:lpstr>
      <vt:lpstr>Scr2</vt:lpstr>
      <vt:lpstr>Scr3-49Rows</vt:lpstr>
      <vt:lpstr>unused</vt:lpstr>
      <vt:lpstr>Screen Data Mapping</vt:lpstr>
      <vt:lpstr>POL Structs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2015-07-25T12:26:50Z</dcterms:created>
  <dcterms:modified xsi:type="dcterms:W3CDTF">2017-09-10T17:53:08Z</dcterms:modified>
</cp:coreProperties>
</file>